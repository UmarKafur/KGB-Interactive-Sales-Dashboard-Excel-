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CE831D3C-13D6-47D9-823A-1086A240F5C9}" xr6:coauthVersionLast="47" xr6:coauthVersionMax="47" xr10:uidLastSave="{00000000-0000-0000-0000-000000000000}"/>
  <bookViews>
    <workbookView xWindow="-120" yWindow="-120" windowWidth="20730" windowHeight="11160" firstSheet="3" activeTab="3" xr2:uid="{2984E8B1-DEB1-44DA-A1BC-77180712DE93}"/>
  </bookViews>
  <sheets>
    <sheet name="Sheet2" sheetId="2" r:id="rId1"/>
    <sheet name="Detail1" sheetId="4" r:id="rId2"/>
    <sheet name="Sheet1" sheetId="5" r:id="rId3"/>
    <sheet name="INTRACTIVE DASHBOARD" sheetId="7" r:id="rId4"/>
    <sheet name="PIVOT" sheetId="3" r:id="rId5"/>
    <sheet name="Sheet3" sheetId="6" r:id="rId6"/>
    <sheet name="PIVOT2" sheetId="8" r:id="rId7"/>
    <sheet name="ROW DATA" sheetId="1" r:id="rId8"/>
  </sheets>
  <definedNames>
    <definedName name="_xlchart.v1.0" hidden="1">Sheet3!$XFB$7:$XFB$15</definedName>
    <definedName name="_xlchart.v1.1" hidden="1">Sheet3!$XFC$7:$XFC$15</definedName>
    <definedName name="_xlchart.v1.2" hidden="1">Sheet3!$XFB$7:$XFB$15</definedName>
    <definedName name="_xlchart.v1.3" hidden="1">Sheet3!$XFC$7:$XFC$15</definedName>
    <definedName name="_xlcn.WorksheetConnection_ROWDATAL3O131" hidden="1">'ROW DATA'!$L$3:$O$13</definedName>
    <definedName name="Slicer_ITEMS">#N/A</definedName>
    <definedName name="Slicer_TOTAL_SALES">#N/A</definedName>
  </definedNames>
  <calcPr calcId="181029"/>
  <pivotCaches>
    <pivotCache cacheId="0" r:id="rId9"/>
    <pivotCache cacheId="2" r:id="rId10"/>
    <pivotCache cacheId="9" r:id="rId11"/>
    <pivotCache cacheId="1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OW DATA!$L$3:$O$13"/>
        </x15:modelTables>
      </x15:dataModel>
    </ext>
  </extLst>
</workbook>
</file>

<file path=xl/calcChain.xml><?xml version="1.0" encoding="utf-8"?>
<calcChain xmlns="http://schemas.openxmlformats.org/spreadsheetml/2006/main">
  <c r="M19" i="1" l="1"/>
  <c r="M17" i="1"/>
  <c r="M18" i="1"/>
  <c r="M16" i="1"/>
  <c r="M13" i="1"/>
  <c r="E3" i="1"/>
  <c r="E4" i="1"/>
  <c r="E5" i="1"/>
  <c r="E6" i="1"/>
  <c r="E7" i="1"/>
  <c r="E8" i="1"/>
  <c r="E9" i="1"/>
  <c r="E10" i="1"/>
  <c r="E2" i="1"/>
  <c r="H3" i="1"/>
  <c r="H4" i="1"/>
  <c r="H5" i="1"/>
  <c r="H6" i="1"/>
  <c r="H7" i="1"/>
  <c r="H8" i="1"/>
  <c r="H9" i="1"/>
  <c r="H10" i="1"/>
  <c r="H2" i="1"/>
  <c r="M5" i="1"/>
  <c r="N5" i="1" s="1"/>
  <c r="O5" i="1" s="1"/>
  <c r="M6" i="1"/>
  <c r="N6" i="1" s="1"/>
  <c r="O6" i="1" s="1"/>
  <c r="M7" i="1"/>
  <c r="N7" i="1" s="1"/>
  <c r="O7" i="1" s="1"/>
  <c r="M8" i="1"/>
  <c r="N8" i="1" s="1"/>
  <c r="O8" i="1" s="1"/>
  <c r="M9" i="1"/>
  <c r="N9" i="1" s="1"/>
  <c r="O9" i="1" s="1"/>
  <c r="M10" i="1"/>
  <c r="N10" i="1" s="1"/>
  <c r="O10" i="1" s="1"/>
  <c r="M11" i="1"/>
  <c r="N11" i="1" s="1"/>
  <c r="O11" i="1" s="1"/>
  <c r="M12" i="1"/>
  <c r="N12" i="1" s="1"/>
  <c r="O12" i="1" s="1"/>
  <c r="M4" i="1"/>
  <c r="N4" i="1" s="1"/>
  <c r="O4" i="1" s="1"/>
  <c r="O13" i="1" l="1"/>
  <c r="N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BAE21E-A3A0-40A4-93EE-B41531A181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D0179DD-01FE-4E38-A400-66823646C208}" name="WorksheetConnection_ROW DATA!$L$3:$O$13" type="102" refreshedVersion="8" minRefreshableVersion="5">
    <extLst>
      <ext xmlns:x15="http://schemas.microsoft.com/office/spreadsheetml/2010/11/main" uri="{DE250136-89BD-433C-8126-D09CA5730AF9}">
        <x15:connection id="Range" autoDelete="1">
          <x15:rangePr sourceName="_xlcn.WorksheetConnection_ROWDATAL3O131"/>
        </x15:connection>
      </ext>
    </extLst>
  </connection>
</connections>
</file>

<file path=xl/sharedStrings.xml><?xml version="1.0" encoding="utf-8"?>
<sst xmlns="http://schemas.openxmlformats.org/spreadsheetml/2006/main" count="149" uniqueCount="38">
  <si>
    <t>S/N</t>
  </si>
  <si>
    <t>ITEMS</t>
  </si>
  <si>
    <t>INITIAL AMOUNT</t>
  </si>
  <si>
    <t>TOTAL AMNT(PCHS)</t>
  </si>
  <si>
    <t>SELLING PRICE</t>
  </si>
  <si>
    <t>TOTAL SELLING AMNT</t>
  </si>
  <si>
    <t>AMOUNT SOLD</t>
  </si>
  <si>
    <t>CEMENT</t>
  </si>
  <si>
    <t>UREA</t>
  </si>
  <si>
    <t>G-DAP</t>
  </si>
  <si>
    <t>G-GAS</t>
  </si>
  <si>
    <t>NPK 1</t>
  </si>
  <si>
    <t>NPK 2</t>
  </si>
  <si>
    <t>NPK 3</t>
  </si>
  <si>
    <t>DUSSA</t>
  </si>
  <si>
    <t>EMPTY BAGS</t>
  </si>
  <si>
    <t>REMAINED</t>
  </si>
  <si>
    <t xml:space="preserve">UNIT PRICE </t>
  </si>
  <si>
    <t>BUSINESS SUMMARY</t>
  </si>
  <si>
    <t>TOTAL SALES</t>
  </si>
  <si>
    <t>PROFIT</t>
  </si>
  <si>
    <t>TOTAL PRICE</t>
  </si>
  <si>
    <t>PRICE REMAINED</t>
  </si>
  <si>
    <t>TOTAL</t>
  </si>
  <si>
    <t>Row Labels</t>
  </si>
  <si>
    <t>Grand Total</t>
  </si>
  <si>
    <t>Details for Sum of PROFIT - ITEMS: NPK 1</t>
  </si>
  <si>
    <t>(blank)</t>
  </si>
  <si>
    <t>Sum of TOTAL PRICE</t>
  </si>
  <si>
    <t>Sum of PROFIT</t>
  </si>
  <si>
    <t>Total Sales</t>
  </si>
  <si>
    <t>Total Profit</t>
  </si>
  <si>
    <t>Total Amount Sold</t>
  </si>
  <si>
    <t>Total Selling Price</t>
  </si>
  <si>
    <t>GENDER</t>
  </si>
  <si>
    <t>MALE</t>
  </si>
  <si>
    <t>FEMALE</t>
  </si>
  <si>
    <t xml:space="preserve">KGB Interactive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</si>
</sst>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9" x14ac:knownFonts="1">
    <font>
      <sz val="11"/>
      <color theme="1"/>
      <name val="Calibri"/>
      <family val="2"/>
      <scheme val="minor"/>
    </font>
    <font>
      <sz val="11"/>
      <color theme="0"/>
      <name val="Calibri"/>
      <family val="2"/>
      <scheme val="minor"/>
    </font>
    <font>
      <b/>
      <sz val="11"/>
      <color theme="1"/>
      <name val="Times New Roman"/>
      <family val="1"/>
    </font>
    <font>
      <b/>
      <sz val="11"/>
      <color theme="0"/>
      <name val="Times New Roman"/>
      <family val="1"/>
    </font>
    <font>
      <sz val="11"/>
      <color theme="0"/>
      <name val="Times New Roman"/>
      <family val="1"/>
    </font>
    <font>
      <b/>
      <sz val="11"/>
      <color theme="1"/>
      <name val="Calibri"/>
      <family val="2"/>
      <scheme val="minor"/>
    </font>
    <font>
      <sz val="11"/>
      <color theme="8"/>
      <name val="Calibri"/>
      <family val="2"/>
      <scheme val="minor"/>
    </font>
    <font>
      <sz val="11"/>
      <color theme="2" tint="-0.89999084444715716"/>
      <name val="Calibri"/>
      <family val="2"/>
      <scheme val="minor"/>
    </font>
    <font>
      <b/>
      <sz val="18"/>
      <color rgb="FF00B050"/>
      <name val="Arial Black"/>
      <family val="2"/>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1"/>
        <bgColor indexed="64"/>
      </patternFill>
    </fill>
    <fill>
      <patternFill patternType="solid">
        <fgColor theme="4"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diagonal/>
    </border>
  </borders>
  <cellStyleXfs count="1">
    <xf numFmtId="0" fontId="0" fillId="0" borderId="0"/>
  </cellStyleXfs>
  <cellXfs count="37">
    <xf numFmtId="0" fontId="0" fillId="0" borderId="0" xfId="0"/>
    <xf numFmtId="8" fontId="0" fillId="0" borderId="0" xfId="0" applyNumberFormat="1"/>
    <xf numFmtId="0" fontId="0" fillId="0" borderId="0" xfId="0" applyAlignment="1">
      <alignment horizontal="center"/>
    </xf>
    <xf numFmtId="8" fontId="0" fillId="0" borderId="0" xfId="0" applyNumberFormat="1" applyAlignment="1">
      <alignment horizontal="center"/>
    </xf>
    <xf numFmtId="8" fontId="2" fillId="0" borderId="0" xfId="0" applyNumberFormat="1" applyFont="1" applyAlignment="1">
      <alignment horizontal="center"/>
    </xf>
    <xf numFmtId="0" fontId="0" fillId="2" borderId="0" xfId="0" applyFill="1"/>
    <xf numFmtId="0" fontId="3" fillId="3" borderId="1" xfId="0" applyFont="1" applyFill="1" applyBorder="1" applyAlignment="1">
      <alignment horizontal="center"/>
    </xf>
    <xf numFmtId="8" fontId="0" fillId="2" borderId="0" xfId="0" applyNumberFormat="1" applyFill="1" applyAlignment="1">
      <alignment horizontal="center"/>
    </xf>
    <xf numFmtId="8" fontId="0" fillId="2" borderId="0" xfId="0" applyNumberFormat="1" applyFill="1"/>
    <xf numFmtId="8" fontId="3" fillId="4" borderId="1" xfId="0" applyNumberFormat="1" applyFont="1" applyFill="1" applyBorder="1" applyAlignment="1">
      <alignment horizontal="center"/>
    </xf>
    <xf numFmtId="0" fontId="3" fillId="4" borderId="1" xfId="0" applyFont="1" applyFill="1" applyBorder="1" applyAlignment="1">
      <alignment horizontal="center"/>
    </xf>
    <xf numFmtId="0" fontId="4" fillId="4" borderId="1" xfId="0" applyFont="1" applyFill="1" applyBorder="1"/>
    <xf numFmtId="0" fontId="1" fillId="4" borderId="1" xfId="0" applyFont="1" applyFill="1" applyBorder="1" applyAlignment="1">
      <alignment horizontal="center"/>
    </xf>
    <xf numFmtId="8" fontId="1" fillId="4" borderId="1" xfId="0" applyNumberFormat="1" applyFont="1" applyFill="1" applyBorder="1" applyAlignment="1">
      <alignment horizontal="center"/>
    </xf>
    <xf numFmtId="8" fontId="1" fillId="4" borderId="1" xfId="0" applyNumberFormat="1" applyFont="1" applyFill="1" applyBorder="1"/>
    <xf numFmtId="0" fontId="4" fillId="5" borderId="1" xfId="0" applyFont="1" applyFill="1" applyBorder="1"/>
    <xf numFmtId="0" fontId="1" fillId="5" borderId="1" xfId="0" applyFont="1" applyFill="1" applyBorder="1" applyAlignment="1">
      <alignment horizontal="center"/>
    </xf>
    <xf numFmtId="8" fontId="1" fillId="5" borderId="1" xfId="0" applyNumberFormat="1"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3" fillId="5" borderId="1" xfId="0" applyFont="1" applyFill="1" applyBorder="1" applyAlignment="1">
      <alignment horizontal="center"/>
    </xf>
    <xf numFmtId="0" fontId="1" fillId="5" borderId="11" xfId="0" applyFont="1" applyFill="1" applyBorder="1" applyAlignment="1">
      <alignment horizontal="center"/>
    </xf>
    <xf numFmtId="0" fontId="5" fillId="0" borderId="0" xfId="0" applyFont="1"/>
    <xf numFmtId="0" fontId="2" fillId="2" borderId="0" xfId="0" applyFont="1" applyFill="1" applyAlignment="1">
      <alignment horizontal="center"/>
    </xf>
    <xf numFmtId="0" fontId="6" fillId="2" borderId="0" xfId="0" applyFont="1" applyFill="1"/>
    <xf numFmtId="8" fontId="4" fillId="4" borderId="1" xfId="0" applyNumberFormat="1" applyFont="1" applyFill="1" applyBorder="1"/>
    <xf numFmtId="0" fontId="7" fillId="2" borderId="0" xfId="0" applyFont="1" applyFill="1"/>
    <xf numFmtId="0" fontId="8"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Total</a:t>
            </a:r>
            <a:r>
              <a:rPr lang="en-US" baseline="0">
                <a:solidFill>
                  <a:schemeClr val="bg2">
                    <a:lumMod val="10000"/>
                  </a:schemeClr>
                </a:solidFill>
              </a:rPr>
              <a:t> Sales</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dPt>
            <c:idx val="8"/>
            <c:invertIfNegative val="0"/>
            <c:bubble3D val="0"/>
            <c:spPr>
              <a:solidFill>
                <a:schemeClr val="accent6"/>
              </a:solidFill>
              <a:ln>
                <a:noFill/>
              </a:ln>
              <a:effectLst/>
            </c:spPr>
            <c:extLst>
              <c:ext xmlns:c16="http://schemas.microsoft.com/office/drawing/2014/chart" uri="{C3380CC4-5D6E-409C-BE32-E72D297353CC}">
                <c16:uniqueId val="{00000001-5E57-47F9-8B4E-EF914BBF4EB2}"/>
              </c:ext>
            </c:extLst>
          </c:dPt>
          <c:dPt>
            <c:idx val="9"/>
            <c:invertIfNegative val="0"/>
            <c:bubble3D val="0"/>
            <c:spPr>
              <a:solidFill>
                <a:schemeClr val="bg2">
                  <a:lumMod val="25000"/>
                </a:schemeClr>
              </a:solidFill>
              <a:ln>
                <a:noFill/>
              </a:ln>
              <a:effectLst/>
            </c:spPr>
            <c:extLst>
              <c:ext xmlns:c16="http://schemas.microsoft.com/office/drawing/2014/chart" uri="{C3380CC4-5D6E-409C-BE32-E72D297353CC}">
                <c16:uniqueId val="{00000002-5E57-47F9-8B4E-EF914BBF4EB2}"/>
              </c:ext>
            </c:extLst>
          </c:dPt>
          <c:cat>
            <c:strRef>
              <c:f>PIVOT!$XEZ$9:$XEZ$18</c:f>
              <c:strCache>
                <c:ptCount val="10"/>
                <c:pt idx="0">
                  <c:v>CEMENT</c:v>
                </c:pt>
                <c:pt idx="1">
                  <c:v>DUSSA</c:v>
                </c:pt>
                <c:pt idx="2">
                  <c:v>EMPTY BAGS</c:v>
                </c:pt>
                <c:pt idx="3">
                  <c:v>G-DAP</c:v>
                </c:pt>
                <c:pt idx="4">
                  <c:v>G-GAS</c:v>
                </c:pt>
                <c:pt idx="5">
                  <c:v>NPK 1</c:v>
                </c:pt>
                <c:pt idx="6">
                  <c:v>NPK 2</c:v>
                </c:pt>
                <c:pt idx="7">
                  <c:v>NPK 3</c:v>
                </c:pt>
                <c:pt idx="8">
                  <c:v>TOTAL</c:v>
                </c:pt>
                <c:pt idx="9">
                  <c:v>UREA</c:v>
                </c:pt>
              </c:strCache>
            </c:strRef>
          </c:cat>
          <c:val>
            <c:numRef>
              <c:f>PIVOT!$XFA$9:$XFA$18</c:f>
              <c:numCache>
                <c:formatCode>"₦"#,##0.00_);[Red]\("₦"#,##0.00\)</c:formatCode>
                <c:ptCount val="10"/>
                <c:pt idx="0">
                  <c:v>4200000</c:v>
                </c:pt>
                <c:pt idx="1">
                  <c:v>5000000</c:v>
                </c:pt>
                <c:pt idx="2">
                  <c:v>540000</c:v>
                </c:pt>
                <c:pt idx="3">
                  <c:v>5440000</c:v>
                </c:pt>
                <c:pt idx="4">
                  <c:v>2520000</c:v>
                </c:pt>
                <c:pt idx="5">
                  <c:v>2160000</c:v>
                </c:pt>
                <c:pt idx="6">
                  <c:v>2820000</c:v>
                </c:pt>
                <c:pt idx="7">
                  <c:v>2530000</c:v>
                </c:pt>
                <c:pt idx="8">
                  <c:v>32240000</c:v>
                </c:pt>
                <c:pt idx="9">
                  <c:v>7030000</c:v>
                </c:pt>
              </c:numCache>
            </c:numRef>
          </c:val>
          <c:extLst>
            <c:ext xmlns:c16="http://schemas.microsoft.com/office/drawing/2014/chart" uri="{C3380CC4-5D6E-409C-BE32-E72D297353CC}">
              <c16:uniqueId val="{00000000-5E57-47F9-8B4E-EF914BBF4EB2}"/>
            </c:ext>
          </c:extLst>
        </c:ser>
        <c:dLbls>
          <c:showLegendKey val="0"/>
          <c:showVal val="0"/>
          <c:showCatName val="0"/>
          <c:showSerName val="0"/>
          <c:showPercent val="0"/>
          <c:showBubbleSize val="0"/>
        </c:dLbls>
        <c:gapWidth val="219"/>
        <c:overlap val="-27"/>
        <c:axId val="1280955152"/>
        <c:axId val="1280955632"/>
      </c:barChart>
      <c:catAx>
        <c:axId val="12809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55632"/>
        <c:crosses val="autoZero"/>
        <c:auto val="1"/>
        <c:lblAlgn val="ctr"/>
        <c:lblOffset val="100"/>
        <c:noMultiLvlLbl val="0"/>
      </c:catAx>
      <c:valAx>
        <c:axId val="1280955632"/>
        <c:scaling>
          <c:orientation val="minMax"/>
        </c:scaling>
        <c:delete val="1"/>
        <c:axPos val="l"/>
        <c:numFmt formatCode="&quot;₦&quot;#,##0.00_);[Red]\(&quot;₦&quot;#,##0.00\)" sourceLinked="1"/>
        <c:majorTickMark val="none"/>
        <c:minorTickMark val="none"/>
        <c:tickLblPos val="nextTo"/>
        <c:crossAx val="128095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Total</a:t>
            </a:r>
            <a:r>
              <a:rPr lang="en-US" baseline="0">
                <a:solidFill>
                  <a:schemeClr val="bg2">
                    <a:lumMod val="10000"/>
                  </a:schemeClr>
                </a:solidFill>
              </a:rPr>
              <a:t> Profit</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6"/>
            </a:solidFill>
            <a:ln>
              <a:noFill/>
            </a:ln>
            <a:effectLst/>
            <a:sp3d/>
          </c:spPr>
          <c:invertIfNegative val="0"/>
          <c:cat>
            <c:strRef>
              <c:f>PIVOT!$XEQ$6:$XEQ$15</c:f>
              <c:strCache>
                <c:ptCount val="10"/>
                <c:pt idx="0">
                  <c:v>CEMENT</c:v>
                </c:pt>
                <c:pt idx="1">
                  <c:v>DUSSA</c:v>
                </c:pt>
                <c:pt idx="2">
                  <c:v>EMPTY BAGS</c:v>
                </c:pt>
                <c:pt idx="3">
                  <c:v>G-DAP</c:v>
                </c:pt>
                <c:pt idx="4">
                  <c:v>G-GAS</c:v>
                </c:pt>
                <c:pt idx="5">
                  <c:v>NPK 1</c:v>
                </c:pt>
                <c:pt idx="6">
                  <c:v>NPK 2</c:v>
                </c:pt>
                <c:pt idx="7">
                  <c:v>NPK 3</c:v>
                </c:pt>
                <c:pt idx="8">
                  <c:v>TOTAL</c:v>
                </c:pt>
                <c:pt idx="9">
                  <c:v>UREA</c:v>
                </c:pt>
              </c:strCache>
            </c:strRef>
          </c:cat>
          <c:val>
            <c:numRef>
              <c:f>PIVOT!$XER$6:$XER$15</c:f>
              <c:numCache>
                <c:formatCode>"₦"#,##0.00_);[Red]\("₦"#,##0.00\)</c:formatCode>
                <c:ptCount val="10"/>
                <c:pt idx="0">
                  <c:v>400000</c:v>
                </c:pt>
                <c:pt idx="1">
                  <c:v>600000</c:v>
                </c:pt>
                <c:pt idx="2">
                  <c:v>90000</c:v>
                </c:pt>
                <c:pt idx="3">
                  <c:v>320000</c:v>
                </c:pt>
                <c:pt idx="4">
                  <c:v>140000</c:v>
                </c:pt>
                <c:pt idx="5">
                  <c:v>135000</c:v>
                </c:pt>
                <c:pt idx="6">
                  <c:v>180000</c:v>
                </c:pt>
                <c:pt idx="7">
                  <c:v>165000</c:v>
                </c:pt>
                <c:pt idx="8">
                  <c:v>2220000</c:v>
                </c:pt>
                <c:pt idx="9">
                  <c:v>190000</c:v>
                </c:pt>
              </c:numCache>
            </c:numRef>
          </c:val>
          <c:extLst>
            <c:ext xmlns:c16="http://schemas.microsoft.com/office/drawing/2014/chart" uri="{C3380CC4-5D6E-409C-BE32-E72D297353CC}">
              <c16:uniqueId val="{00000000-C3EF-4E36-B3C4-F5C0727C2215}"/>
            </c:ext>
          </c:extLst>
        </c:ser>
        <c:dLbls>
          <c:showLegendKey val="0"/>
          <c:showVal val="0"/>
          <c:showCatName val="0"/>
          <c:showSerName val="0"/>
          <c:showPercent val="0"/>
          <c:showBubbleSize val="0"/>
        </c:dLbls>
        <c:gapWidth val="150"/>
        <c:shape val="box"/>
        <c:axId val="1169446320"/>
        <c:axId val="1169455440"/>
        <c:axId val="0"/>
      </c:bar3DChart>
      <c:catAx>
        <c:axId val="116944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455440"/>
        <c:crosses val="autoZero"/>
        <c:auto val="1"/>
        <c:lblAlgn val="ctr"/>
        <c:lblOffset val="100"/>
        <c:noMultiLvlLbl val="0"/>
      </c:catAx>
      <c:valAx>
        <c:axId val="1169455440"/>
        <c:scaling>
          <c:orientation val="minMax"/>
        </c:scaling>
        <c:delete val="1"/>
        <c:axPos val="l"/>
        <c:numFmt formatCode="&quot;₦&quot;#,##0.00_);[Red]\(&quot;₦&quot;#,##0.00\)" sourceLinked="1"/>
        <c:majorTickMark val="none"/>
        <c:minorTickMark val="none"/>
        <c:tickLblPos val="nextTo"/>
        <c:crossAx val="11694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Total</a:t>
            </a:r>
            <a:r>
              <a:rPr lang="en-US" baseline="0">
                <a:solidFill>
                  <a:schemeClr val="bg2">
                    <a:lumMod val="10000"/>
                  </a:schemeClr>
                </a:solidFill>
              </a:rPr>
              <a:t> Amount Sold</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PIVOT!$XEN$5</c:f>
              <c:strCache>
                <c:ptCount val="1"/>
                <c:pt idx="0">
                  <c:v>CEMENT</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PIVOT!$XEO$5</c:f>
              <c:numCache>
                <c:formatCode>General</c:formatCode>
                <c:ptCount val="1"/>
                <c:pt idx="0">
                  <c:v>400</c:v>
                </c:pt>
              </c:numCache>
            </c:numRef>
          </c:val>
          <c:extLst>
            <c:ext xmlns:c16="http://schemas.microsoft.com/office/drawing/2014/chart" uri="{C3380CC4-5D6E-409C-BE32-E72D297353CC}">
              <c16:uniqueId val="{00000000-037D-4EFE-B140-0B5A60860E03}"/>
            </c:ext>
          </c:extLst>
        </c:ser>
        <c:ser>
          <c:idx val="1"/>
          <c:order val="1"/>
          <c:tx>
            <c:strRef>
              <c:f>PIVOT!$XEN$6</c:f>
              <c:strCache>
                <c:ptCount val="1"/>
                <c:pt idx="0">
                  <c:v>DUSSA</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PIVOT!$XEO$6</c:f>
              <c:numCache>
                <c:formatCode>General</c:formatCode>
                <c:ptCount val="1"/>
                <c:pt idx="0">
                  <c:v>200</c:v>
                </c:pt>
              </c:numCache>
            </c:numRef>
          </c:val>
          <c:extLst>
            <c:ext xmlns:c16="http://schemas.microsoft.com/office/drawing/2014/chart" uri="{C3380CC4-5D6E-409C-BE32-E72D297353CC}">
              <c16:uniqueId val="{00000001-037D-4EFE-B140-0B5A60860E03}"/>
            </c:ext>
          </c:extLst>
        </c:ser>
        <c:ser>
          <c:idx val="2"/>
          <c:order val="2"/>
          <c:tx>
            <c:strRef>
              <c:f>PIVOT!$XEN$7</c:f>
              <c:strCache>
                <c:ptCount val="1"/>
                <c:pt idx="0">
                  <c:v>EMPTY BAGS</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PIVOT!$XEO$7</c:f>
              <c:numCache>
                <c:formatCode>General</c:formatCode>
                <c:ptCount val="1"/>
                <c:pt idx="0">
                  <c:v>900</c:v>
                </c:pt>
              </c:numCache>
            </c:numRef>
          </c:val>
          <c:extLst>
            <c:ext xmlns:c16="http://schemas.microsoft.com/office/drawing/2014/chart" uri="{C3380CC4-5D6E-409C-BE32-E72D297353CC}">
              <c16:uniqueId val="{00000002-037D-4EFE-B140-0B5A60860E03}"/>
            </c:ext>
          </c:extLst>
        </c:ser>
        <c:ser>
          <c:idx val="3"/>
          <c:order val="3"/>
          <c:tx>
            <c:strRef>
              <c:f>PIVOT!$XEN$8</c:f>
              <c:strCache>
                <c:ptCount val="1"/>
                <c:pt idx="0">
                  <c:v>G-DAP</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PIVOT!$XEO$8</c:f>
              <c:numCache>
                <c:formatCode>General</c:formatCode>
                <c:ptCount val="1"/>
                <c:pt idx="0">
                  <c:v>80</c:v>
                </c:pt>
              </c:numCache>
            </c:numRef>
          </c:val>
          <c:extLst>
            <c:ext xmlns:c16="http://schemas.microsoft.com/office/drawing/2014/chart" uri="{C3380CC4-5D6E-409C-BE32-E72D297353CC}">
              <c16:uniqueId val="{00000003-037D-4EFE-B140-0B5A60860E03}"/>
            </c:ext>
          </c:extLst>
        </c:ser>
        <c:ser>
          <c:idx val="4"/>
          <c:order val="4"/>
          <c:tx>
            <c:strRef>
              <c:f>PIVOT!$XEN$9</c:f>
              <c:strCache>
                <c:ptCount val="1"/>
                <c:pt idx="0">
                  <c:v>G-GAS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PIVOT!$XEO$9</c:f>
              <c:numCache>
                <c:formatCode>General</c:formatCode>
                <c:ptCount val="1"/>
                <c:pt idx="0">
                  <c:v>70</c:v>
                </c:pt>
              </c:numCache>
            </c:numRef>
          </c:val>
          <c:extLst>
            <c:ext xmlns:c16="http://schemas.microsoft.com/office/drawing/2014/chart" uri="{C3380CC4-5D6E-409C-BE32-E72D297353CC}">
              <c16:uniqueId val="{00000004-037D-4EFE-B140-0B5A60860E03}"/>
            </c:ext>
          </c:extLst>
        </c:ser>
        <c:ser>
          <c:idx val="5"/>
          <c:order val="5"/>
          <c:tx>
            <c:strRef>
              <c:f>PIVOT!$XEN$10</c:f>
              <c:strCache>
                <c:ptCount val="1"/>
                <c:pt idx="0">
                  <c:v>NPK 1</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PIVOT!$XEO$10</c:f>
              <c:numCache>
                <c:formatCode>General</c:formatCode>
                <c:ptCount val="1"/>
                <c:pt idx="0">
                  <c:v>45</c:v>
                </c:pt>
              </c:numCache>
            </c:numRef>
          </c:val>
          <c:extLst>
            <c:ext xmlns:c16="http://schemas.microsoft.com/office/drawing/2014/chart" uri="{C3380CC4-5D6E-409C-BE32-E72D297353CC}">
              <c16:uniqueId val="{00000005-037D-4EFE-B140-0B5A60860E03}"/>
            </c:ext>
          </c:extLst>
        </c:ser>
        <c:ser>
          <c:idx val="6"/>
          <c:order val="6"/>
          <c:tx>
            <c:strRef>
              <c:f>PIVOT!$XEN$11</c:f>
              <c:strCache>
                <c:ptCount val="1"/>
                <c:pt idx="0">
                  <c:v>NPK 2</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PIVOT!$XEO$11</c:f>
              <c:numCache>
                <c:formatCode>General</c:formatCode>
                <c:ptCount val="1"/>
                <c:pt idx="0">
                  <c:v>60</c:v>
                </c:pt>
              </c:numCache>
            </c:numRef>
          </c:val>
          <c:extLst>
            <c:ext xmlns:c16="http://schemas.microsoft.com/office/drawing/2014/chart" uri="{C3380CC4-5D6E-409C-BE32-E72D297353CC}">
              <c16:uniqueId val="{00000006-037D-4EFE-B140-0B5A60860E03}"/>
            </c:ext>
          </c:extLst>
        </c:ser>
        <c:ser>
          <c:idx val="7"/>
          <c:order val="7"/>
          <c:tx>
            <c:strRef>
              <c:f>PIVOT!$XEN$12</c:f>
              <c:strCache>
                <c:ptCount val="1"/>
                <c:pt idx="0">
                  <c:v>NPK 3</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PIVOT!$XEO$12</c:f>
              <c:numCache>
                <c:formatCode>General</c:formatCode>
                <c:ptCount val="1"/>
                <c:pt idx="0">
                  <c:v>55</c:v>
                </c:pt>
              </c:numCache>
            </c:numRef>
          </c:val>
          <c:extLst>
            <c:ext xmlns:c16="http://schemas.microsoft.com/office/drawing/2014/chart" uri="{C3380CC4-5D6E-409C-BE32-E72D297353CC}">
              <c16:uniqueId val="{00000007-037D-4EFE-B140-0B5A60860E03}"/>
            </c:ext>
          </c:extLst>
        </c:ser>
        <c:ser>
          <c:idx val="8"/>
          <c:order val="8"/>
          <c:tx>
            <c:strRef>
              <c:f>PIVOT!$XEN$13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PIVOT!$XEO$13</c:f>
              <c:numCache>
                <c:formatCode>General</c:formatCode>
                <c:ptCount val="1"/>
                <c:pt idx="0">
                  <c:v>2000</c:v>
                </c:pt>
              </c:numCache>
            </c:numRef>
          </c:val>
          <c:extLst>
            <c:ext xmlns:c16="http://schemas.microsoft.com/office/drawing/2014/chart" uri="{C3380CC4-5D6E-409C-BE32-E72D297353CC}">
              <c16:uniqueId val="{00000008-037D-4EFE-B140-0B5A60860E03}"/>
            </c:ext>
          </c:extLst>
        </c:ser>
        <c:ser>
          <c:idx val="9"/>
          <c:order val="9"/>
          <c:tx>
            <c:strRef>
              <c:f>PIVOT!$XEN$14</c:f>
              <c:strCache>
                <c:ptCount val="1"/>
                <c:pt idx="0">
                  <c:v>UREA</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PIVOT!$XEO$14</c:f>
              <c:numCache>
                <c:formatCode>General</c:formatCode>
                <c:ptCount val="1"/>
                <c:pt idx="0">
                  <c:v>190</c:v>
                </c:pt>
              </c:numCache>
            </c:numRef>
          </c:val>
          <c:extLst>
            <c:ext xmlns:c16="http://schemas.microsoft.com/office/drawing/2014/chart" uri="{C3380CC4-5D6E-409C-BE32-E72D297353CC}">
              <c16:uniqueId val="{00000009-037D-4EFE-B140-0B5A60860E03}"/>
            </c:ext>
          </c:extLst>
        </c:ser>
        <c:dLbls>
          <c:dLblPos val="outEnd"/>
          <c:showLegendKey val="0"/>
          <c:showVal val="1"/>
          <c:showCatName val="0"/>
          <c:showSerName val="0"/>
          <c:showPercent val="0"/>
          <c:showBubbleSize val="0"/>
        </c:dLbls>
        <c:gapWidth val="219"/>
        <c:overlap val="-27"/>
        <c:axId val="1385892752"/>
        <c:axId val="1385908592"/>
      </c:barChart>
      <c:catAx>
        <c:axId val="13858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8592"/>
        <c:crosses val="autoZero"/>
        <c:auto val="1"/>
        <c:lblAlgn val="ctr"/>
        <c:lblOffset val="100"/>
        <c:noMultiLvlLbl val="0"/>
      </c:catAx>
      <c:valAx>
        <c:axId val="1385908592"/>
        <c:scaling>
          <c:orientation val="minMax"/>
        </c:scaling>
        <c:delete val="1"/>
        <c:axPos val="l"/>
        <c:numFmt formatCode="General" sourceLinked="1"/>
        <c:majorTickMark val="none"/>
        <c:minorTickMark val="none"/>
        <c:tickLblPos val="nextTo"/>
        <c:crossAx val="1385892752"/>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Total</a:t>
            </a:r>
            <a:r>
              <a:rPr lang="en-US" baseline="0">
                <a:solidFill>
                  <a:schemeClr val="bg2">
                    <a:lumMod val="25000"/>
                  </a:schemeClr>
                </a:solidFill>
              </a:rPr>
              <a:t> Selling Price</a:t>
            </a: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lotArea>
      <c:layout>
        <c:manualLayout>
          <c:layoutTarget val="inner"/>
          <c:xMode val="edge"/>
          <c:yMode val="edge"/>
          <c:x val="2.9333333333333333E-2"/>
          <c:y val="0.3071637613757594"/>
          <c:w val="0.94133333333333336"/>
          <c:h val="0.60173887073172638"/>
        </c:manualLayout>
      </c:layout>
      <c:lineChart>
        <c:grouping val="stacked"/>
        <c:varyColors val="0"/>
        <c:ser>
          <c:idx val="0"/>
          <c:order val="0"/>
          <c:spPr>
            <a:ln w="28575" cap="rnd">
              <a:solidFill>
                <a:schemeClr val="accent1"/>
              </a:solidFill>
              <a:round/>
            </a:ln>
            <a:effectLst/>
          </c:spPr>
          <c:marker>
            <c:symbol val="none"/>
          </c:marker>
          <c:dLbls>
            <c:delete val="1"/>
            <c:extLst/>
          </c:dLbls>
          <c:cat>
            <c:strRef>
              <c:f>Sheet3!$XEQ$5:$XEQ$13</c:f>
              <c:strCache>
                <c:ptCount val="9"/>
                <c:pt idx="0">
                  <c:v>CEMENT</c:v>
                </c:pt>
                <c:pt idx="1">
                  <c:v>DUSSA</c:v>
                </c:pt>
                <c:pt idx="2">
                  <c:v>EMPTY BAGS</c:v>
                </c:pt>
                <c:pt idx="3">
                  <c:v>G-DAP</c:v>
                </c:pt>
                <c:pt idx="4">
                  <c:v>G-GAS</c:v>
                </c:pt>
                <c:pt idx="5">
                  <c:v>NPK 1</c:v>
                </c:pt>
                <c:pt idx="6">
                  <c:v>NPK 2</c:v>
                </c:pt>
                <c:pt idx="7">
                  <c:v>NPK 3</c:v>
                </c:pt>
                <c:pt idx="8">
                  <c:v>UREA</c:v>
                </c:pt>
              </c:strCache>
            </c:strRef>
          </c:cat>
          <c:val>
            <c:numRef>
              <c:f>Sheet3!$XER$5:$XER$13</c:f>
              <c:numCache>
                <c:formatCode>General</c:formatCode>
                <c:ptCount val="9"/>
                <c:pt idx="0">
                  <c:v>5250000</c:v>
                </c:pt>
                <c:pt idx="1">
                  <c:v>5000000</c:v>
                </c:pt>
                <c:pt idx="2">
                  <c:v>700000</c:v>
                </c:pt>
                <c:pt idx="3">
                  <c:v>6800000</c:v>
                </c:pt>
                <c:pt idx="4">
                  <c:v>3600000</c:v>
                </c:pt>
                <c:pt idx="5">
                  <c:v>2400000</c:v>
                </c:pt>
                <c:pt idx="6">
                  <c:v>3290000</c:v>
                </c:pt>
                <c:pt idx="7">
                  <c:v>2760000</c:v>
                </c:pt>
                <c:pt idx="8">
                  <c:v>7400000</c:v>
                </c:pt>
              </c:numCache>
            </c:numRef>
          </c:val>
          <c:smooth val="0"/>
          <c:extLst>
            <c:ext xmlns:c16="http://schemas.microsoft.com/office/drawing/2014/chart" uri="{C3380CC4-5D6E-409C-BE32-E72D297353CC}">
              <c16:uniqueId val="{00000000-22AC-4F69-8D13-3A2EAB28518D}"/>
            </c:ext>
          </c:extLst>
        </c:ser>
        <c:dLbls>
          <c:dLblPos val="t"/>
          <c:showLegendKey val="0"/>
          <c:showVal val="1"/>
          <c:showCatName val="0"/>
          <c:showSerName val="0"/>
          <c:showPercent val="0"/>
          <c:showBubbleSize val="0"/>
        </c:dLbls>
        <c:smooth val="0"/>
        <c:axId val="1385945072"/>
        <c:axId val="1385946512"/>
      </c:lineChart>
      <c:catAx>
        <c:axId val="1385945072"/>
        <c:scaling>
          <c:orientation val="minMax"/>
        </c:scaling>
        <c:delete val="1"/>
        <c:axPos val="b"/>
        <c:numFmt formatCode="General" sourceLinked="1"/>
        <c:majorTickMark val="none"/>
        <c:minorTickMark val="none"/>
        <c:tickLblPos val="nextTo"/>
        <c:crossAx val="1385946512"/>
        <c:crosses val="autoZero"/>
        <c:auto val="1"/>
        <c:lblAlgn val="ctr"/>
        <c:lblOffset val="100"/>
        <c:noMultiLvlLbl val="0"/>
      </c:catAx>
      <c:valAx>
        <c:axId val="1385946512"/>
        <c:scaling>
          <c:orientation val="minMax"/>
        </c:scaling>
        <c:delete val="1"/>
        <c:axPos val="l"/>
        <c:numFmt formatCode="General" sourceLinked="1"/>
        <c:majorTickMark val="none"/>
        <c:minorTickMark val="none"/>
        <c:tickLblPos val="nextTo"/>
        <c:crossAx val="138594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solidFill>
                  <a:schemeClr val="bg2">
                    <a:lumMod val="10000"/>
                  </a:schemeClr>
                </a:solidFill>
              </a:rPr>
              <a:t> Profit</a:t>
            </a:r>
            <a:r>
              <a:rPr lang="en-US" baseline="0">
                <a:solidFill>
                  <a:schemeClr val="bg2">
                    <a:lumMod val="10000"/>
                  </a:schemeClr>
                </a:solidFill>
              </a:rPr>
              <a:t> By Gender</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BC0A-44F0-AF04-D0262E6BFB8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C0A-44F0-AF04-D0262E6BFB8B}"/>
              </c:ext>
            </c:extLst>
          </c:dPt>
          <c:cat>
            <c:strRef>
              <c:f>PIVOT2!$XEW$7:$XEW$8</c:f>
              <c:strCache>
                <c:ptCount val="2"/>
                <c:pt idx="0">
                  <c:v>FEMALE</c:v>
                </c:pt>
                <c:pt idx="1">
                  <c:v>MALE</c:v>
                </c:pt>
              </c:strCache>
            </c:strRef>
          </c:cat>
          <c:val>
            <c:numRef>
              <c:f>PIVOT2!$XEX$7:$XEX$8</c:f>
              <c:numCache>
                <c:formatCode>"₦"#,##0.00_);[Red]\("₦"#,##0.00\)</c:formatCode>
                <c:ptCount val="2"/>
                <c:pt idx="0">
                  <c:v>970000</c:v>
                </c:pt>
                <c:pt idx="1">
                  <c:v>3470000</c:v>
                </c:pt>
              </c:numCache>
            </c:numRef>
          </c:val>
          <c:extLst>
            <c:ext xmlns:c16="http://schemas.microsoft.com/office/drawing/2014/chart" uri="{C3380CC4-5D6E-409C-BE32-E72D297353CC}">
              <c16:uniqueId val="{00000004-BC0A-44F0-AF04-D0262E6BFB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PIVOT!$XEZ$9:$XEZ$18</c:f>
              <c:strCache>
                <c:ptCount val="10"/>
                <c:pt idx="0">
                  <c:v>CEMENT</c:v>
                </c:pt>
                <c:pt idx="1">
                  <c:v>DUSSA</c:v>
                </c:pt>
                <c:pt idx="2">
                  <c:v>EMPTY BAGS</c:v>
                </c:pt>
                <c:pt idx="3">
                  <c:v>G-DAP</c:v>
                </c:pt>
                <c:pt idx="4">
                  <c:v>G-GAS</c:v>
                </c:pt>
                <c:pt idx="5">
                  <c:v>NPK 1</c:v>
                </c:pt>
                <c:pt idx="6">
                  <c:v>NPK 2</c:v>
                </c:pt>
                <c:pt idx="7">
                  <c:v>NPK 3</c:v>
                </c:pt>
                <c:pt idx="8">
                  <c:v>TOTAL</c:v>
                </c:pt>
                <c:pt idx="9">
                  <c:v>UREA</c:v>
                </c:pt>
              </c:strCache>
            </c:strRef>
          </c:cat>
          <c:val>
            <c:numRef>
              <c:f>PIVOT!$XFA$9:$XFA$18</c:f>
              <c:numCache>
                <c:formatCode>"₦"#,##0.00_);[Red]\("₦"#,##0.00\)</c:formatCode>
                <c:ptCount val="10"/>
                <c:pt idx="0">
                  <c:v>4200000</c:v>
                </c:pt>
                <c:pt idx="1">
                  <c:v>5000000</c:v>
                </c:pt>
                <c:pt idx="2">
                  <c:v>540000</c:v>
                </c:pt>
                <c:pt idx="3">
                  <c:v>5440000</c:v>
                </c:pt>
                <c:pt idx="4">
                  <c:v>2520000</c:v>
                </c:pt>
                <c:pt idx="5">
                  <c:v>2160000</c:v>
                </c:pt>
                <c:pt idx="6">
                  <c:v>2820000</c:v>
                </c:pt>
                <c:pt idx="7">
                  <c:v>2530000</c:v>
                </c:pt>
                <c:pt idx="8">
                  <c:v>32240000</c:v>
                </c:pt>
                <c:pt idx="9">
                  <c:v>7030000</c:v>
                </c:pt>
              </c:numCache>
            </c:numRef>
          </c:val>
          <c:extLst>
            <c:ext xmlns:c16="http://schemas.microsoft.com/office/drawing/2014/chart" uri="{C3380CC4-5D6E-409C-BE32-E72D297353CC}">
              <c16:uniqueId val="{00000000-FA37-49D4-9AA8-D5E72CE24FAD}"/>
            </c:ext>
          </c:extLst>
        </c:ser>
        <c:dLbls>
          <c:showLegendKey val="0"/>
          <c:showVal val="0"/>
          <c:showCatName val="0"/>
          <c:showSerName val="0"/>
          <c:showPercent val="0"/>
          <c:showBubbleSize val="0"/>
        </c:dLbls>
        <c:gapWidth val="219"/>
        <c:overlap val="-27"/>
        <c:axId val="1280955152"/>
        <c:axId val="1280955632"/>
      </c:barChart>
      <c:catAx>
        <c:axId val="128095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55632"/>
        <c:crosses val="autoZero"/>
        <c:auto val="1"/>
        <c:lblAlgn val="ctr"/>
        <c:lblOffset val="100"/>
        <c:noMultiLvlLbl val="0"/>
      </c:catAx>
      <c:valAx>
        <c:axId val="1280955632"/>
        <c:scaling>
          <c:orientation val="minMax"/>
        </c:scaling>
        <c:delete val="1"/>
        <c:axPos val="l"/>
        <c:numFmt formatCode="&quot;₦&quot;#,##0.00_);[Red]\(&quot;₦&quot;#,##0.00\)" sourceLinked="1"/>
        <c:majorTickMark val="none"/>
        <c:minorTickMark val="none"/>
        <c:tickLblPos val="nextTo"/>
        <c:crossAx val="128095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PIVOT!$XEQ$6:$XEQ$15</c:f>
              <c:strCache>
                <c:ptCount val="10"/>
                <c:pt idx="0">
                  <c:v>CEMENT</c:v>
                </c:pt>
                <c:pt idx="1">
                  <c:v>DUSSA</c:v>
                </c:pt>
                <c:pt idx="2">
                  <c:v>EMPTY BAGS</c:v>
                </c:pt>
                <c:pt idx="3">
                  <c:v>G-DAP</c:v>
                </c:pt>
                <c:pt idx="4">
                  <c:v>G-GAS</c:v>
                </c:pt>
                <c:pt idx="5">
                  <c:v>NPK 1</c:v>
                </c:pt>
                <c:pt idx="6">
                  <c:v>NPK 2</c:v>
                </c:pt>
                <c:pt idx="7">
                  <c:v>NPK 3</c:v>
                </c:pt>
                <c:pt idx="8">
                  <c:v>TOTAL</c:v>
                </c:pt>
                <c:pt idx="9">
                  <c:v>UREA</c:v>
                </c:pt>
              </c:strCache>
            </c:strRef>
          </c:cat>
          <c:val>
            <c:numRef>
              <c:f>PIVOT!$XER$6:$XER$15</c:f>
              <c:numCache>
                <c:formatCode>"₦"#,##0.00_);[Red]\("₦"#,##0.00\)</c:formatCode>
                <c:ptCount val="10"/>
                <c:pt idx="0">
                  <c:v>400000</c:v>
                </c:pt>
                <c:pt idx="1">
                  <c:v>600000</c:v>
                </c:pt>
                <c:pt idx="2">
                  <c:v>90000</c:v>
                </c:pt>
                <c:pt idx="3">
                  <c:v>320000</c:v>
                </c:pt>
                <c:pt idx="4">
                  <c:v>140000</c:v>
                </c:pt>
                <c:pt idx="5">
                  <c:v>135000</c:v>
                </c:pt>
                <c:pt idx="6">
                  <c:v>180000</c:v>
                </c:pt>
                <c:pt idx="7">
                  <c:v>165000</c:v>
                </c:pt>
                <c:pt idx="8">
                  <c:v>2220000</c:v>
                </c:pt>
                <c:pt idx="9">
                  <c:v>190000</c:v>
                </c:pt>
              </c:numCache>
            </c:numRef>
          </c:val>
          <c:extLst>
            <c:ext xmlns:c16="http://schemas.microsoft.com/office/drawing/2014/chart" uri="{C3380CC4-5D6E-409C-BE32-E72D297353CC}">
              <c16:uniqueId val="{00000000-6C02-444B-92C1-11B4765B0A91}"/>
            </c:ext>
          </c:extLst>
        </c:ser>
        <c:dLbls>
          <c:showLegendKey val="0"/>
          <c:showVal val="0"/>
          <c:showCatName val="0"/>
          <c:showSerName val="0"/>
          <c:showPercent val="0"/>
          <c:showBubbleSize val="0"/>
        </c:dLbls>
        <c:gapWidth val="150"/>
        <c:shape val="box"/>
        <c:axId val="1169446320"/>
        <c:axId val="1169455440"/>
        <c:axId val="0"/>
      </c:bar3DChart>
      <c:catAx>
        <c:axId val="116944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455440"/>
        <c:crosses val="autoZero"/>
        <c:auto val="1"/>
        <c:lblAlgn val="ctr"/>
        <c:lblOffset val="100"/>
        <c:noMultiLvlLbl val="0"/>
      </c:catAx>
      <c:valAx>
        <c:axId val="1169455440"/>
        <c:scaling>
          <c:orientation val="minMax"/>
        </c:scaling>
        <c:delete val="1"/>
        <c:axPos val="l"/>
        <c:numFmt formatCode="&quot;₦&quot;#,##0.00_);[Red]\(&quot;₦&quot;#,##0.00\)" sourceLinked="1"/>
        <c:majorTickMark val="none"/>
        <c:minorTickMark val="none"/>
        <c:tickLblPos val="nextTo"/>
        <c:crossAx val="116944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PIVOT!$XEN$5</c:f>
              <c:strCache>
                <c:ptCount val="1"/>
                <c:pt idx="0">
                  <c:v>CEMENT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PIVOT!$XEO$5</c:f>
              <c:numCache>
                <c:formatCode>General</c:formatCode>
                <c:ptCount val="1"/>
                <c:pt idx="0">
                  <c:v>400</c:v>
                </c:pt>
              </c:numCache>
            </c:numRef>
          </c:val>
          <c:extLst>
            <c:ext xmlns:c16="http://schemas.microsoft.com/office/drawing/2014/chart" uri="{C3380CC4-5D6E-409C-BE32-E72D297353CC}">
              <c16:uniqueId val="{00000000-4041-4C7E-87DB-92E06A11EE83}"/>
            </c:ext>
          </c:extLst>
        </c:ser>
        <c:ser>
          <c:idx val="1"/>
          <c:order val="1"/>
          <c:tx>
            <c:strRef>
              <c:f>PIVOT!$XEN$6</c:f>
              <c:strCache>
                <c:ptCount val="1"/>
                <c:pt idx="0">
                  <c:v>DUSSA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PIVOT!$XEO$6</c:f>
              <c:numCache>
                <c:formatCode>General</c:formatCode>
                <c:ptCount val="1"/>
                <c:pt idx="0">
                  <c:v>200</c:v>
                </c:pt>
              </c:numCache>
            </c:numRef>
          </c:val>
          <c:extLst>
            <c:ext xmlns:c16="http://schemas.microsoft.com/office/drawing/2014/chart" uri="{C3380CC4-5D6E-409C-BE32-E72D297353CC}">
              <c16:uniqueId val="{00000001-4041-4C7E-87DB-92E06A11EE83}"/>
            </c:ext>
          </c:extLst>
        </c:ser>
        <c:ser>
          <c:idx val="2"/>
          <c:order val="2"/>
          <c:tx>
            <c:strRef>
              <c:f>PIVOT!$XEN$7</c:f>
              <c:strCache>
                <c:ptCount val="1"/>
                <c:pt idx="0">
                  <c:v>EMPTY BAGS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PIVOT!$XEO$7</c:f>
              <c:numCache>
                <c:formatCode>General</c:formatCode>
                <c:ptCount val="1"/>
                <c:pt idx="0">
                  <c:v>900</c:v>
                </c:pt>
              </c:numCache>
            </c:numRef>
          </c:val>
          <c:extLst>
            <c:ext xmlns:c16="http://schemas.microsoft.com/office/drawing/2014/chart" uri="{C3380CC4-5D6E-409C-BE32-E72D297353CC}">
              <c16:uniqueId val="{00000002-4041-4C7E-87DB-92E06A11EE83}"/>
            </c:ext>
          </c:extLst>
        </c:ser>
        <c:ser>
          <c:idx val="3"/>
          <c:order val="3"/>
          <c:tx>
            <c:strRef>
              <c:f>PIVOT!$XEN$8</c:f>
              <c:strCache>
                <c:ptCount val="1"/>
                <c:pt idx="0">
                  <c:v>G-DAP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PIVOT!$XEO$8</c:f>
              <c:numCache>
                <c:formatCode>General</c:formatCode>
                <c:ptCount val="1"/>
                <c:pt idx="0">
                  <c:v>80</c:v>
                </c:pt>
              </c:numCache>
            </c:numRef>
          </c:val>
          <c:extLst>
            <c:ext xmlns:c16="http://schemas.microsoft.com/office/drawing/2014/chart" uri="{C3380CC4-5D6E-409C-BE32-E72D297353CC}">
              <c16:uniqueId val="{00000003-4041-4C7E-87DB-92E06A11EE83}"/>
            </c:ext>
          </c:extLst>
        </c:ser>
        <c:ser>
          <c:idx val="4"/>
          <c:order val="4"/>
          <c:tx>
            <c:strRef>
              <c:f>PIVOT!$XEN$9</c:f>
              <c:strCache>
                <c:ptCount val="1"/>
                <c:pt idx="0">
                  <c:v>G-GAS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PIVOT!$XEO$9</c:f>
              <c:numCache>
                <c:formatCode>General</c:formatCode>
                <c:ptCount val="1"/>
                <c:pt idx="0">
                  <c:v>70</c:v>
                </c:pt>
              </c:numCache>
            </c:numRef>
          </c:val>
          <c:extLst>
            <c:ext xmlns:c16="http://schemas.microsoft.com/office/drawing/2014/chart" uri="{C3380CC4-5D6E-409C-BE32-E72D297353CC}">
              <c16:uniqueId val="{00000004-4041-4C7E-87DB-92E06A11EE83}"/>
            </c:ext>
          </c:extLst>
        </c:ser>
        <c:ser>
          <c:idx val="5"/>
          <c:order val="5"/>
          <c:tx>
            <c:strRef>
              <c:f>PIVOT!$XEN$10</c:f>
              <c:strCache>
                <c:ptCount val="1"/>
                <c:pt idx="0">
                  <c:v>NPK 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PIVOT!$XEO$10</c:f>
              <c:numCache>
                <c:formatCode>General</c:formatCode>
                <c:ptCount val="1"/>
                <c:pt idx="0">
                  <c:v>45</c:v>
                </c:pt>
              </c:numCache>
            </c:numRef>
          </c:val>
          <c:extLst>
            <c:ext xmlns:c16="http://schemas.microsoft.com/office/drawing/2014/chart" uri="{C3380CC4-5D6E-409C-BE32-E72D297353CC}">
              <c16:uniqueId val="{00000005-4041-4C7E-87DB-92E06A11EE83}"/>
            </c:ext>
          </c:extLst>
        </c:ser>
        <c:ser>
          <c:idx val="6"/>
          <c:order val="6"/>
          <c:tx>
            <c:strRef>
              <c:f>PIVOT!$XEN$11</c:f>
              <c:strCache>
                <c:ptCount val="1"/>
                <c:pt idx="0">
                  <c:v>NPK 2</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PIVOT!$XEO$11</c:f>
              <c:numCache>
                <c:formatCode>General</c:formatCode>
                <c:ptCount val="1"/>
                <c:pt idx="0">
                  <c:v>60</c:v>
                </c:pt>
              </c:numCache>
            </c:numRef>
          </c:val>
          <c:extLst>
            <c:ext xmlns:c16="http://schemas.microsoft.com/office/drawing/2014/chart" uri="{C3380CC4-5D6E-409C-BE32-E72D297353CC}">
              <c16:uniqueId val="{00000006-4041-4C7E-87DB-92E06A11EE83}"/>
            </c:ext>
          </c:extLst>
        </c:ser>
        <c:ser>
          <c:idx val="7"/>
          <c:order val="7"/>
          <c:tx>
            <c:strRef>
              <c:f>PIVOT!$XEN$12</c:f>
              <c:strCache>
                <c:ptCount val="1"/>
                <c:pt idx="0">
                  <c:v>NPK 3</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PIVOT!$XEO$12</c:f>
              <c:numCache>
                <c:formatCode>General</c:formatCode>
                <c:ptCount val="1"/>
                <c:pt idx="0">
                  <c:v>55</c:v>
                </c:pt>
              </c:numCache>
            </c:numRef>
          </c:val>
          <c:extLst>
            <c:ext xmlns:c16="http://schemas.microsoft.com/office/drawing/2014/chart" uri="{C3380CC4-5D6E-409C-BE32-E72D297353CC}">
              <c16:uniqueId val="{00000007-4041-4C7E-87DB-92E06A11EE83}"/>
            </c:ext>
          </c:extLst>
        </c:ser>
        <c:ser>
          <c:idx val="8"/>
          <c:order val="8"/>
          <c:tx>
            <c:strRef>
              <c:f>PIVOT!$XEN$13</c:f>
              <c:strCache>
                <c:ptCount val="1"/>
                <c:pt idx="0">
                  <c:v>TOTAL</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PIVOT!$XEO$13</c:f>
              <c:numCache>
                <c:formatCode>General</c:formatCode>
                <c:ptCount val="1"/>
                <c:pt idx="0">
                  <c:v>2000</c:v>
                </c:pt>
              </c:numCache>
            </c:numRef>
          </c:val>
          <c:extLst>
            <c:ext xmlns:c16="http://schemas.microsoft.com/office/drawing/2014/chart" uri="{C3380CC4-5D6E-409C-BE32-E72D297353CC}">
              <c16:uniqueId val="{00000008-4041-4C7E-87DB-92E06A11EE83}"/>
            </c:ext>
          </c:extLst>
        </c:ser>
        <c:ser>
          <c:idx val="9"/>
          <c:order val="9"/>
          <c:tx>
            <c:strRef>
              <c:f>PIVOT!$XEN$14</c:f>
              <c:strCache>
                <c:ptCount val="1"/>
                <c:pt idx="0">
                  <c:v>UREA</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PIVOT!$XEO$14</c:f>
              <c:numCache>
                <c:formatCode>General</c:formatCode>
                <c:ptCount val="1"/>
                <c:pt idx="0">
                  <c:v>190</c:v>
                </c:pt>
              </c:numCache>
            </c:numRef>
          </c:val>
          <c:extLst>
            <c:ext xmlns:c16="http://schemas.microsoft.com/office/drawing/2014/chart" uri="{C3380CC4-5D6E-409C-BE32-E72D297353CC}">
              <c16:uniqueId val="{00000009-4041-4C7E-87DB-92E06A11EE83}"/>
            </c:ext>
          </c:extLst>
        </c:ser>
        <c:dLbls>
          <c:dLblPos val="outEnd"/>
          <c:showLegendKey val="0"/>
          <c:showVal val="1"/>
          <c:showCatName val="0"/>
          <c:showSerName val="0"/>
          <c:showPercent val="0"/>
          <c:showBubbleSize val="0"/>
        </c:dLbls>
        <c:gapWidth val="219"/>
        <c:overlap val="-27"/>
        <c:axId val="1385892752"/>
        <c:axId val="1385908592"/>
      </c:barChart>
      <c:catAx>
        <c:axId val="13858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8592"/>
        <c:crosses val="autoZero"/>
        <c:auto val="1"/>
        <c:lblAlgn val="ctr"/>
        <c:lblOffset val="100"/>
        <c:noMultiLvlLbl val="0"/>
      </c:catAx>
      <c:valAx>
        <c:axId val="1385908592"/>
        <c:scaling>
          <c:orientation val="minMax"/>
        </c:scaling>
        <c:delete val="1"/>
        <c:axPos val="l"/>
        <c:numFmt formatCode="General" sourceLinked="1"/>
        <c:majorTickMark val="none"/>
        <c:minorTickMark val="none"/>
        <c:tickLblPos val="nextTo"/>
        <c:crossAx val="138589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Selling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Sheet3!$XEQ$5:$XEQ$13</c:f>
              <c:strCache>
                <c:ptCount val="9"/>
                <c:pt idx="0">
                  <c:v>CEMENT</c:v>
                </c:pt>
                <c:pt idx="1">
                  <c:v>DUSSA</c:v>
                </c:pt>
                <c:pt idx="2">
                  <c:v>EMPTY BAGS</c:v>
                </c:pt>
                <c:pt idx="3">
                  <c:v>G-DAP</c:v>
                </c:pt>
                <c:pt idx="4">
                  <c:v>G-GAS</c:v>
                </c:pt>
                <c:pt idx="5">
                  <c:v>NPK 1</c:v>
                </c:pt>
                <c:pt idx="6">
                  <c:v>NPK 2</c:v>
                </c:pt>
                <c:pt idx="7">
                  <c:v>NPK 3</c:v>
                </c:pt>
                <c:pt idx="8">
                  <c:v>UREA</c:v>
                </c:pt>
              </c:strCache>
            </c:strRef>
          </c:cat>
          <c:val>
            <c:numRef>
              <c:f>Sheet3!$XER$5:$XER$13</c:f>
              <c:numCache>
                <c:formatCode>General</c:formatCode>
                <c:ptCount val="9"/>
                <c:pt idx="0">
                  <c:v>5250000</c:v>
                </c:pt>
                <c:pt idx="1">
                  <c:v>5000000</c:v>
                </c:pt>
                <c:pt idx="2">
                  <c:v>700000</c:v>
                </c:pt>
                <c:pt idx="3">
                  <c:v>6800000</c:v>
                </c:pt>
                <c:pt idx="4">
                  <c:v>3600000</c:v>
                </c:pt>
                <c:pt idx="5">
                  <c:v>2400000</c:v>
                </c:pt>
                <c:pt idx="6">
                  <c:v>3290000</c:v>
                </c:pt>
                <c:pt idx="7">
                  <c:v>2760000</c:v>
                </c:pt>
                <c:pt idx="8">
                  <c:v>7400000</c:v>
                </c:pt>
              </c:numCache>
            </c:numRef>
          </c:val>
          <c:smooth val="0"/>
          <c:extLst>
            <c:ext xmlns:c16="http://schemas.microsoft.com/office/drawing/2014/chart" uri="{C3380CC4-5D6E-409C-BE32-E72D297353CC}">
              <c16:uniqueId val="{00000000-3BC5-4E6C-96A1-08441F3A70B6}"/>
            </c:ext>
          </c:extLst>
        </c:ser>
        <c:dLbls>
          <c:dLblPos val="t"/>
          <c:showLegendKey val="0"/>
          <c:showVal val="1"/>
          <c:showCatName val="0"/>
          <c:showSerName val="0"/>
          <c:showPercent val="0"/>
          <c:showBubbleSize val="0"/>
        </c:dLbls>
        <c:smooth val="0"/>
        <c:axId val="1385945072"/>
        <c:axId val="1385946512"/>
      </c:lineChart>
      <c:catAx>
        <c:axId val="1385945072"/>
        <c:scaling>
          <c:orientation val="minMax"/>
        </c:scaling>
        <c:delete val="1"/>
        <c:axPos val="b"/>
        <c:numFmt formatCode="General" sourceLinked="1"/>
        <c:majorTickMark val="none"/>
        <c:minorTickMark val="none"/>
        <c:tickLblPos val="nextTo"/>
        <c:crossAx val="1385946512"/>
        <c:crosses val="autoZero"/>
        <c:auto val="1"/>
        <c:lblAlgn val="ctr"/>
        <c:lblOffset val="100"/>
        <c:noMultiLvlLbl val="0"/>
      </c:catAx>
      <c:valAx>
        <c:axId val="1385946512"/>
        <c:scaling>
          <c:orientation val="minMax"/>
        </c:scaling>
        <c:delete val="1"/>
        <c:axPos val="l"/>
        <c:numFmt formatCode="General" sourceLinked="1"/>
        <c:majorTickMark val="none"/>
        <c:minorTickMark val="none"/>
        <c:tickLblPos val="nextTo"/>
        <c:crossAx val="138594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Selling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Sheet3!$XEQ$5:$XEQ$13</c:f>
              <c:strCache>
                <c:ptCount val="9"/>
                <c:pt idx="0">
                  <c:v>CEMENT</c:v>
                </c:pt>
                <c:pt idx="1">
                  <c:v>DUSSA</c:v>
                </c:pt>
                <c:pt idx="2">
                  <c:v>EMPTY BAGS</c:v>
                </c:pt>
                <c:pt idx="3">
                  <c:v>G-DAP</c:v>
                </c:pt>
                <c:pt idx="4">
                  <c:v>G-GAS</c:v>
                </c:pt>
                <c:pt idx="5">
                  <c:v>NPK 1</c:v>
                </c:pt>
                <c:pt idx="6">
                  <c:v>NPK 2</c:v>
                </c:pt>
                <c:pt idx="7">
                  <c:v>NPK 3</c:v>
                </c:pt>
                <c:pt idx="8">
                  <c:v>UREA</c:v>
                </c:pt>
              </c:strCache>
            </c:strRef>
          </c:cat>
          <c:val>
            <c:numRef>
              <c:f>Sheet3!$XER$5:$XER$13</c:f>
              <c:numCache>
                <c:formatCode>General</c:formatCode>
                <c:ptCount val="9"/>
                <c:pt idx="0">
                  <c:v>5250000</c:v>
                </c:pt>
                <c:pt idx="1">
                  <c:v>5000000</c:v>
                </c:pt>
                <c:pt idx="2">
                  <c:v>700000</c:v>
                </c:pt>
                <c:pt idx="3">
                  <c:v>6800000</c:v>
                </c:pt>
                <c:pt idx="4">
                  <c:v>3600000</c:v>
                </c:pt>
                <c:pt idx="5">
                  <c:v>2400000</c:v>
                </c:pt>
                <c:pt idx="6">
                  <c:v>3290000</c:v>
                </c:pt>
                <c:pt idx="7">
                  <c:v>2760000</c:v>
                </c:pt>
                <c:pt idx="8">
                  <c:v>7400000</c:v>
                </c:pt>
              </c:numCache>
            </c:numRef>
          </c:val>
          <c:smooth val="0"/>
          <c:extLst>
            <c:ext xmlns:c16="http://schemas.microsoft.com/office/drawing/2014/chart" uri="{C3380CC4-5D6E-409C-BE32-E72D297353CC}">
              <c16:uniqueId val="{00000000-7242-48C7-9523-20CCB4AB1FB4}"/>
            </c:ext>
          </c:extLst>
        </c:ser>
        <c:dLbls>
          <c:dLblPos val="t"/>
          <c:showLegendKey val="0"/>
          <c:showVal val="1"/>
          <c:showCatName val="0"/>
          <c:showSerName val="0"/>
          <c:showPercent val="0"/>
          <c:showBubbleSize val="0"/>
        </c:dLbls>
        <c:smooth val="0"/>
        <c:axId val="1385945072"/>
        <c:axId val="1385946512"/>
      </c:lineChart>
      <c:catAx>
        <c:axId val="1385945072"/>
        <c:scaling>
          <c:orientation val="minMax"/>
        </c:scaling>
        <c:delete val="1"/>
        <c:axPos val="b"/>
        <c:numFmt formatCode="General" sourceLinked="1"/>
        <c:majorTickMark val="none"/>
        <c:minorTickMark val="none"/>
        <c:tickLblPos val="nextTo"/>
        <c:crossAx val="1385946512"/>
        <c:crosses val="autoZero"/>
        <c:auto val="1"/>
        <c:lblAlgn val="ctr"/>
        <c:lblOffset val="100"/>
        <c:noMultiLvlLbl val="0"/>
      </c:catAx>
      <c:valAx>
        <c:axId val="1385946512"/>
        <c:scaling>
          <c:orientation val="minMax"/>
        </c:scaling>
        <c:delete val="1"/>
        <c:axPos val="l"/>
        <c:numFmt formatCode="General" sourceLinked="1"/>
        <c:majorTickMark val="none"/>
        <c:minorTickMark val="none"/>
        <c:tickLblPos val="nextTo"/>
        <c:crossAx val="13859450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59-4DD9-A0EB-7C22836BA4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59-4DD9-A0EB-7C22836BA4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59-4DD9-A0EB-7C22836BA4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59-4DD9-A0EB-7C22836BA4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59-4DD9-A0EB-7C22836BA4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59-4DD9-A0EB-7C22836BA46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59-4DD9-A0EB-7C22836BA46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59-4DD9-A0EB-7C22836BA46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59-4DD9-A0EB-7C22836BA46A}"/>
              </c:ext>
            </c:extLst>
          </c:dPt>
          <c:cat>
            <c:strRef>
              <c:f>Sheet3!$XEM$6:$XEM$14</c:f>
              <c:strCache>
                <c:ptCount val="9"/>
                <c:pt idx="0">
                  <c:v>CEMENT</c:v>
                </c:pt>
                <c:pt idx="1">
                  <c:v>DUSSA</c:v>
                </c:pt>
                <c:pt idx="2">
                  <c:v>EMPTY BAGS</c:v>
                </c:pt>
                <c:pt idx="3">
                  <c:v>G-DAP</c:v>
                </c:pt>
                <c:pt idx="4">
                  <c:v>G-GAS</c:v>
                </c:pt>
                <c:pt idx="5">
                  <c:v>NPK 1</c:v>
                </c:pt>
                <c:pt idx="6">
                  <c:v>NPK 2</c:v>
                </c:pt>
                <c:pt idx="7">
                  <c:v>NPK 3</c:v>
                </c:pt>
                <c:pt idx="8">
                  <c:v>UREA</c:v>
                </c:pt>
              </c:strCache>
            </c:strRef>
          </c:cat>
          <c:val>
            <c:numRef>
              <c:f>Sheet3!$XEN$6:$XEN$14</c:f>
              <c:numCache>
                <c:formatCode>General</c:formatCode>
                <c:ptCount val="9"/>
                <c:pt idx="0">
                  <c:v>4750000</c:v>
                </c:pt>
                <c:pt idx="1">
                  <c:v>4400000</c:v>
                </c:pt>
                <c:pt idx="2">
                  <c:v>500000</c:v>
                </c:pt>
                <c:pt idx="3">
                  <c:v>6400000</c:v>
                </c:pt>
                <c:pt idx="4">
                  <c:v>3400000</c:v>
                </c:pt>
                <c:pt idx="5">
                  <c:v>2250000</c:v>
                </c:pt>
                <c:pt idx="6">
                  <c:v>3080000</c:v>
                </c:pt>
                <c:pt idx="7">
                  <c:v>2580000</c:v>
                </c:pt>
                <c:pt idx="8">
                  <c:v>7200000</c:v>
                </c:pt>
              </c:numCache>
            </c:numRef>
          </c:val>
          <c:extLst>
            <c:ext xmlns:c16="http://schemas.microsoft.com/office/drawing/2014/chart" uri="{C3380CC4-5D6E-409C-BE32-E72D297353CC}">
              <c16:uniqueId val="{00000000-917D-44DE-9231-E4D2AFFACE4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PIVOT2!$XEW$7:$XEW$8</c:f>
              <c:strCache>
                <c:ptCount val="2"/>
                <c:pt idx="0">
                  <c:v>FEMALE</c:v>
                </c:pt>
                <c:pt idx="1">
                  <c:v>MALE</c:v>
                </c:pt>
              </c:strCache>
            </c:strRef>
          </c:cat>
          <c:val>
            <c:numRef>
              <c:f>PIVOT2!$XEX$7:$XEX$8</c:f>
              <c:numCache>
                <c:formatCode>"₦"#,##0.00_);[Red]\("₦"#,##0.00\)</c:formatCode>
                <c:ptCount val="2"/>
                <c:pt idx="0">
                  <c:v>970000</c:v>
                </c:pt>
                <c:pt idx="1">
                  <c:v>3470000</c:v>
                </c:pt>
              </c:numCache>
            </c:numRef>
          </c:val>
          <c:extLst>
            <c:ext xmlns:c16="http://schemas.microsoft.com/office/drawing/2014/chart" uri="{C3380CC4-5D6E-409C-BE32-E72D297353CC}">
              <c16:uniqueId val="{00000000-00EC-4977-BD50-90CC0A20C7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Remaining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Remaining Amount</a:t>
          </a:r>
        </a:p>
      </cx:txPr>
    </cx:title>
    <cx:plotArea>
      <cx:plotAreaRegion>
        <cx:series layoutId="clusteredColumn" uniqueId="{2B6DF636-4DEF-4779-BDBA-4B737CCC0EEA}">
          <cx:dataLabels>
            <cx:visibility seriesName="0" categoryName="0" value="1"/>
          </cx:dataLabels>
          <cx:dataId val="0"/>
          <cx:layoutPr>
            <cx:aggregation/>
          </cx:layoutPr>
          <cx:axisId val="1"/>
        </cx:series>
        <cx:series layoutId="paretoLine" ownerIdx="0" uniqueId="{5370E369-34DF-4AB8-9970-19B11E109A4A}">
          <cx:axisId val="2"/>
        </cx:series>
      </cx:plotAreaRegion>
      <cx:axis id="0" hidden="1">
        <cx:catScaling gapWidth="0"/>
        <cx:tickLabels/>
      </cx:axis>
      <cx:axis id="1" hidden="1">
        <cx:valScaling/>
        <cx:tickLabels/>
      </cx:axis>
      <cx:axis id="2" hidden="1">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Remaining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Remaining Amount</a:t>
          </a:r>
        </a:p>
      </cx:txPr>
    </cx:title>
    <cx:plotArea>
      <cx:plotAreaRegion>
        <cx:series layoutId="clusteredColumn" uniqueId="{2B6DF636-4DEF-4779-BDBA-4B737CCC0EEA}">
          <cx:dataLabels>
            <cx:visibility seriesName="0" categoryName="0" value="1"/>
          </cx:dataLabels>
          <cx:dataId val="0"/>
          <cx:layoutPr>
            <cx:aggregation/>
          </cx:layoutPr>
          <cx:axisId val="1"/>
        </cx:series>
        <cx:series layoutId="paretoLine" ownerIdx="0" uniqueId="{5370E369-34DF-4AB8-9970-19B11E109A4A}">
          <cx:axisId val="2"/>
        </cx:series>
      </cx:plotAreaRegion>
      <cx:axis id="0" hidden="1">
        <cx:catScaling gapWidth="0"/>
        <cx:tickLabels/>
      </cx:axis>
      <cx:axis id="1" hidden="1">
        <cx:valScaling/>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9.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390526</xdr:colOff>
      <xdr:row>5</xdr:row>
      <xdr:rowOff>123825</xdr:rowOff>
    </xdr:from>
    <xdr:to>
      <xdr:col>7</xdr:col>
      <xdr:colOff>257176</xdr:colOff>
      <xdr:row>11</xdr:row>
      <xdr:rowOff>123826</xdr:rowOff>
    </xdr:to>
    <xdr:graphicFrame macro="">
      <xdr:nvGraphicFramePr>
        <xdr:cNvPr id="2" name="Chart 1">
          <a:extLst>
            <a:ext uri="{FF2B5EF4-FFF2-40B4-BE49-F238E27FC236}">
              <a16:creationId xmlns:a16="http://schemas.microsoft.com/office/drawing/2014/main" id="{935580FD-6099-4A0F-B14E-6D107527F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390525</xdr:colOff>
      <xdr:row>12</xdr:row>
      <xdr:rowOff>9524</xdr:rowOff>
    </xdr:from>
    <xdr:to>
      <xdr:col>7</xdr:col>
      <xdr:colOff>266700</xdr:colOff>
      <xdr:row>19</xdr:row>
      <xdr:rowOff>9525</xdr:rowOff>
    </xdr:to>
    <xdr:graphicFrame macro="">
      <xdr:nvGraphicFramePr>
        <xdr:cNvPr id="3" name="Chart 2">
          <a:extLst>
            <a:ext uri="{FF2B5EF4-FFF2-40B4-BE49-F238E27FC236}">
              <a16:creationId xmlns:a16="http://schemas.microsoft.com/office/drawing/2014/main" id="{B5449DA1-80B8-4EC7-BC57-AB9EFE058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9523</xdr:colOff>
      <xdr:row>5</xdr:row>
      <xdr:rowOff>95251</xdr:rowOff>
    </xdr:from>
    <xdr:to>
      <xdr:col>20</xdr:col>
      <xdr:colOff>76200</xdr:colOff>
      <xdr:row>11</xdr:row>
      <xdr:rowOff>161925</xdr:rowOff>
    </xdr:to>
    <xdr:graphicFrame macro="">
      <xdr:nvGraphicFramePr>
        <xdr:cNvPr id="4" name="Chart 3">
          <a:extLst>
            <a:ext uri="{FF2B5EF4-FFF2-40B4-BE49-F238E27FC236}">
              <a16:creationId xmlns:a16="http://schemas.microsoft.com/office/drawing/2014/main" id="{B8ABDC2C-937C-4662-90A4-2DB8DEE8C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581025</xdr:colOff>
      <xdr:row>12</xdr:row>
      <xdr:rowOff>85725</xdr:rowOff>
    </xdr:from>
    <xdr:to>
      <xdr:col>20</xdr:col>
      <xdr:colOff>76200</xdr:colOff>
      <xdr:row>19</xdr:row>
      <xdr:rowOff>66674</xdr:rowOff>
    </xdr:to>
    <xdr:graphicFrame macro="">
      <xdr:nvGraphicFramePr>
        <xdr:cNvPr id="5" name="Chart 4">
          <a:extLst>
            <a:ext uri="{FF2B5EF4-FFF2-40B4-BE49-F238E27FC236}">
              <a16:creationId xmlns:a16="http://schemas.microsoft.com/office/drawing/2014/main" id="{1ACB6B01-B69A-4FF0-A712-3B8930CF9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428626</xdr:colOff>
      <xdr:row>1</xdr:row>
      <xdr:rowOff>171449</xdr:rowOff>
    </xdr:from>
    <xdr:ext cx="1257300" cy="255070"/>
    <xdr:sp macro="" textlink="'ROW DATA'!M16">
      <xdr:nvSpPr>
        <xdr:cNvPr id="10" name="TextBox 9">
          <a:extLst>
            <a:ext uri="{FF2B5EF4-FFF2-40B4-BE49-F238E27FC236}">
              <a16:creationId xmlns:a16="http://schemas.microsoft.com/office/drawing/2014/main" id="{C6E98B9E-0662-6610-1035-173137D37D7C}"/>
            </a:ext>
          </a:extLst>
        </xdr:cNvPr>
        <xdr:cNvSpPr txBox="1"/>
      </xdr:nvSpPr>
      <xdr:spPr>
        <a:xfrm>
          <a:off x="4086226" y="485774"/>
          <a:ext cx="1257300" cy="25507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91A59DE7-9CF1-4345-A1D3-2DDCA7BD7AB6}" type="TxLink">
            <a:rPr lang="en-US" sz="900" b="0" i="0" u="none" strike="noStrike">
              <a:solidFill>
                <a:srgbClr val="000000"/>
              </a:solidFill>
              <a:latin typeface="Arial Black" panose="020B0A04020102020204" pitchFamily="34" charset="0"/>
              <a:ea typeface="+mn-ea"/>
              <a:cs typeface="Calibri"/>
            </a:rPr>
            <a:pPr marL="0" indent="0" algn="ctr"/>
            <a:t>₦64,480,000.00</a:t>
          </a:fld>
          <a:endParaRPr lang="en-US" sz="900" b="0" i="0" u="none" strike="noStrike">
            <a:solidFill>
              <a:srgbClr val="000000"/>
            </a:solidFill>
            <a:latin typeface="Arial Black" panose="020B0A04020102020204" pitchFamily="34" charset="0"/>
            <a:ea typeface="+mn-ea"/>
            <a:cs typeface="Calibri"/>
          </a:endParaRPr>
        </a:p>
      </xdr:txBody>
    </xdr:sp>
    <xdr:clientData/>
  </xdr:oneCellAnchor>
  <xdr:oneCellAnchor>
    <xdr:from>
      <xdr:col>9</xdr:col>
      <xdr:colOff>419101</xdr:colOff>
      <xdr:row>1</xdr:row>
      <xdr:rowOff>190499</xdr:rowOff>
    </xdr:from>
    <xdr:ext cx="1257300" cy="264560"/>
    <xdr:sp macro="" textlink="'ROW DATA'!M18">
      <xdr:nvSpPr>
        <xdr:cNvPr id="11" name="TextBox 10">
          <a:extLst>
            <a:ext uri="{FF2B5EF4-FFF2-40B4-BE49-F238E27FC236}">
              <a16:creationId xmlns:a16="http://schemas.microsoft.com/office/drawing/2014/main" id="{EF2DBF9E-4B9A-7A14-C043-29877888D249}"/>
            </a:ext>
          </a:extLst>
        </xdr:cNvPr>
        <xdr:cNvSpPr txBox="1"/>
      </xdr:nvSpPr>
      <xdr:spPr>
        <a:xfrm>
          <a:off x="5905501" y="504824"/>
          <a:ext cx="1257300" cy="26456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DD451604-996B-4BD7-961E-2ABF9A3A5D7D}" type="TxLink">
            <a:rPr lang="en-US" sz="900" b="0" i="0" u="none" strike="noStrike">
              <a:solidFill>
                <a:srgbClr val="000000"/>
              </a:solidFill>
              <a:latin typeface="Arial Black" panose="020B0A04020102020204" pitchFamily="34" charset="0"/>
              <a:ea typeface="+mn-ea"/>
              <a:cs typeface="Calibri"/>
            </a:rPr>
            <a:pPr marL="0" indent="0" algn="ctr"/>
            <a:t>₦4,440,000.00</a:t>
          </a:fld>
          <a:endParaRPr lang="en-US" sz="900" b="0" i="0" u="none" strike="noStrike">
            <a:solidFill>
              <a:srgbClr val="000000"/>
            </a:solidFill>
            <a:latin typeface="Arial Black" panose="020B0A04020102020204" pitchFamily="34" charset="0"/>
            <a:ea typeface="+mn-ea"/>
            <a:cs typeface="Calibri"/>
          </a:endParaRPr>
        </a:p>
      </xdr:txBody>
    </xdr:sp>
    <xdr:clientData/>
  </xdr:oneCellAnchor>
  <xdr:oneCellAnchor>
    <xdr:from>
      <xdr:col>12</xdr:col>
      <xdr:colOff>523876</xdr:colOff>
      <xdr:row>2</xdr:row>
      <xdr:rowOff>9524</xdr:rowOff>
    </xdr:from>
    <xdr:ext cx="1257300" cy="264560"/>
    <xdr:sp macro="" textlink="'ROW DATA'!M17">
      <xdr:nvSpPr>
        <xdr:cNvPr id="12" name="TextBox 11">
          <a:extLst>
            <a:ext uri="{FF2B5EF4-FFF2-40B4-BE49-F238E27FC236}">
              <a16:creationId xmlns:a16="http://schemas.microsoft.com/office/drawing/2014/main" id="{810416F3-ACBD-DC53-DAD2-8685FE11E4E1}"/>
            </a:ext>
          </a:extLst>
        </xdr:cNvPr>
        <xdr:cNvSpPr txBox="1"/>
      </xdr:nvSpPr>
      <xdr:spPr>
        <a:xfrm>
          <a:off x="7839076" y="514349"/>
          <a:ext cx="1257300" cy="26456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721DCF63-CA4A-433B-9AAD-C71372673FCE}" type="TxLink">
            <a:rPr lang="en-US" sz="900" b="0" i="0" u="none" strike="noStrike">
              <a:solidFill>
                <a:srgbClr val="000000"/>
              </a:solidFill>
              <a:latin typeface="Arial Black" panose="020B0A04020102020204" pitchFamily="34" charset="0"/>
              <a:ea typeface="+mn-ea"/>
              <a:cs typeface="Calibri"/>
            </a:rPr>
            <a:pPr marL="0" indent="0" algn="ctr"/>
            <a:t>₦4,000.00</a:t>
          </a:fld>
          <a:endParaRPr lang="en-US" sz="900" b="0" i="0" u="none" strike="noStrike">
            <a:solidFill>
              <a:srgbClr val="000000"/>
            </a:solidFill>
            <a:latin typeface="Arial Black" panose="020B0A04020102020204" pitchFamily="34" charset="0"/>
            <a:ea typeface="+mn-ea"/>
            <a:cs typeface="Calibri"/>
          </a:endParaRPr>
        </a:p>
      </xdr:txBody>
    </xdr:sp>
    <xdr:clientData/>
  </xdr:oneCellAnchor>
  <xdr:oneCellAnchor>
    <xdr:from>
      <xdr:col>15</xdr:col>
      <xdr:colOff>533401</xdr:colOff>
      <xdr:row>1</xdr:row>
      <xdr:rowOff>180974</xdr:rowOff>
    </xdr:from>
    <xdr:ext cx="1257300" cy="264560"/>
    <xdr:sp macro="" textlink="'ROW DATA'!M19">
      <xdr:nvSpPr>
        <xdr:cNvPr id="13" name="TextBox 12">
          <a:extLst>
            <a:ext uri="{FF2B5EF4-FFF2-40B4-BE49-F238E27FC236}">
              <a16:creationId xmlns:a16="http://schemas.microsoft.com/office/drawing/2014/main" id="{D924A63A-2216-22AB-D246-C703261496C7}"/>
            </a:ext>
          </a:extLst>
        </xdr:cNvPr>
        <xdr:cNvSpPr txBox="1"/>
      </xdr:nvSpPr>
      <xdr:spPr>
        <a:xfrm>
          <a:off x="9677401" y="495299"/>
          <a:ext cx="1257300" cy="264560"/>
        </a:xfrm>
        <a:prstGeom prst="rect">
          <a:avLst/>
        </a:prstGeom>
        <a:solidFill>
          <a:schemeClr val="accent6"/>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4EFF0CCD-47AA-4689-90A2-DF14E2D30FD2}" type="TxLink">
            <a:rPr lang="en-US" sz="900" b="0" i="0" u="none" strike="noStrike">
              <a:solidFill>
                <a:srgbClr val="000000"/>
              </a:solidFill>
              <a:latin typeface="Arial Black" panose="020B0A04020102020204" pitchFamily="34" charset="0"/>
              <a:ea typeface="+mn-ea"/>
              <a:cs typeface="Calibri"/>
            </a:rPr>
            <a:pPr marL="0" indent="0" algn="ctr"/>
            <a:t>₦318,100.00</a:t>
          </a:fld>
          <a:endParaRPr lang="en-US" sz="900" b="0" i="0" u="none" strike="noStrike">
            <a:solidFill>
              <a:srgbClr val="000000"/>
            </a:solidFill>
            <a:latin typeface="Arial Black" panose="020B0A04020102020204" pitchFamily="34" charset="0"/>
            <a:ea typeface="+mn-ea"/>
            <a:cs typeface="Calibri"/>
          </a:endParaRPr>
        </a:p>
      </xdr:txBody>
    </xdr:sp>
    <xdr:clientData/>
  </xdr:oneCellAnchor>
  <xdr:twoCellAnchor editAs="oneCell">
    <xdr:from>
      <xdr:col>0</xdr:col>
      <xdr:colOff>0</xdr:colOff>
      <xdr:row>0</xdr:row>
      <xdr:rowOff>57152</xdr:rowOff>
    </xdr:from>
    <xdr:to>
      <xdr:col>6</xdr:col>
      <xdr:colOff>295274</xdr:colOff>
      <xdr:row>4</xdr:row>
      <xdr:rowOff>180976</xdr:rowOff>
    </xdr:to>
    <mc:AlternateContent xmlns:mc="http://schemas.openxmlformats.org/markup-compatibility/2006">
      <mc:Choice xmlns:a14="http://schemas.microsoft.com/office/drawing/2010/main" Requires="a14">
        <xdr:graphicFrame macro="">
          <xdr:nvGraphicFramePr>
            <xdr:cNvPr id="15" name="ITEMS 1">
              <a:extLst>
                <a:ext uri="{FF2B5EF4-FFF2-40B4-BE49-F238E27FC236}">
                  <a16:creationId xmlns:a16="http://schemas.microsoft.com/office/drawing/2014/main" id="{77B66262-3B16-4F4F-A9D7-9CC643E80FE3}"/>
                </a:ext>
              </a:extLst>
            </xdr:cNvPr>
            <xdr:cNvGraphicFramePr/>
          </xdr:nvGraphicFramePr>
          <xdr:xfrm>
            <a:off x="0" y="0"/>
            <a:ext cx="0" cy="0"/>
          </xdr:xfrm>
          <a:graphic>
            <a:graphicData uri="http://schemas.microsoft.com/office/drawing/2010/slicer">
              <sle:slicer xmlns:sle="http://schemas.microsoft.com/office/drawing/2010/slicer" name="ITEMS 1"/>
            </a:graphicData>
          </a:graphic>
        </xdr:graphicFrame>
      </mc:Choice>
      <mc:Fallback>
        <xdr:sp macro="" textlink="">
          <xdr:nvSpPr>
            <xdr:cNvPr id="0" name=""/>
            <xdr:cNvSpPr>
              <a:spLocks noTextEdit="1"/>
            </xdr:cNvSpPr>
          </xdr:nvSpPr>
          <xdr:spPr>
            <a:xfrm>
              <a:off x="0" y="57152"/>
              <a:ext cx="3952874" cy="103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5</xdr:row>
      <xdr:rowOff>0</xdr:rowOff>
    </xdr:from>
    <xdr:to>
      <xdr:col>1</xdr:col>
      <xdr:colOff>361950</xdr:colOff>
      <xdr:row>18</xdr:row>
      <xdr:rowOff>114300</xdr:rowOff>
    </xdr:to>
    <mc:AlternateContent xmlns:mc="http://schemas.openxmlformats.org/markup-compatibility/2006">
      <mc:Choice xmlns:a14="http://schemas.microsoft.com/office/drawing/2010/main" Requires="a14">
        <xdr:graphicFrame macro="">
          <xdr:nvGraphicFramePr>
            <xdr:cNvPr id="16" name="TOTAL SALES 1">
              <a:extLst>
                <a:ext uri="{FF2B5EF4-FFF2-40B4-BE49-F238E27FC236}">
                  <a16:creationId xmlns:a16="http://schemas.microsoft.com/office/drawing/2014/main" id="{7A62D615-2ABE-4AA2-8A46-B7F62909E668}"/>
                </a:ext>
              </a:extLst>
            </xdr:cNvPr>
            <xdr:cNvGraphicFramePr/>
          </xdr:nvGraphicFramePr>
          <xdr:xfrm>
            <a:off x="0" y="0"/>
            <a:ext cx="0" cy="0"/>
          </xdr:xfrm>
          <a:graphic>
            <a:graphicData uri="http://schemas.microsoft.com/office/drawing/2010/slicer">
              <sle:slicer xmlns:sle="http://schemas.microsoft.com/office/drawing/2010/slicer" name="TOTAL SALES 1"/>
            </a:graphicData>
          </a:graphic>
        </xdr:graphicFrame>
      </mc:Choice>
      <mc:Fallback>
        <xdr:sp macro="" textlink="">
          <xdr:nvSpPr>
            <xdr:cNvPr id="0" name=""/>
            <xdr:cNvSpPr>
              <a:spLocks noTextEdit="1"/>
            </xdr:cNvSpPr>
          </xdr:nvSpPr>
          <xdr:spPr>
            <a:xfrm>
              <a:off x="38101" y="1104900"/>
              <a:ext cx="933449"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xdr:colOff>
      <xdr:row>5</xdr:row>
      <xdr:rowOff>133350</xdr:rowOff>
    </xdr:from>
    <xdr:to>
      <xdr:col>13</xdr:col>
      <xdr:colOff>371475</xdr:colOff>
      <xdr:row>19</xdr:row>
      <xdr:rowOff>0</xdr:rowOff>
    </xdr:to>
    <xdr:graphicFrame macro="">
      <xdr:nvGraphicFramePr>
        <xdr:cNvPr id="18" name="Chart 17">
          <a:extLst>
            <a:ext uri="{FF2B5EF4-FFF2-40B4-BE49-F238E27FC236}">
              <a16:creationId xmlns:a16="http://schemas.microsoft.com/office/drawing/2014/main" id="{7640A9EE-8DC7-48D8-9FCA-B4F1D0B35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16375</xdr:col>
      <xdr:colOff>295275</xdr:colOff>
      <xdr:row>2</xdr:row>
      <xdr:rowOff>176212</xdr:rowOff>
    </xdr:from>
    <xdr:to>
      <xdr:col>16381</xdr:col>
      <xdr:colOff>600075</xdr:colOff>
      <xdr:row>17</xdr:row>
      <xdr:rowOff>61912</xdr:rowOff>
    </xdr:to>
    <xdr:graphicFrame macro="">
      <xdr:nvGraphicFramePr>
        <xdr:cNvPr id="2" name="Chart 1">
          <a:extLst>
            <a:ext uri="{FF2B5EF4-FFF2-40B4-BE49-F238E27FC236}">
              <a16:creationId xmlns:a16="http://schemas.microsoft.com/office/drawing/2014/main" id="{FA3B9B26-810A-270F-A4EE-E2F6B21AC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16369</xdr:col>
      <xdr:colOff>333375</xdr:colOff>
      <xdr:row>3</xdr:row>
      <xdr:rowOff>14287</xdr:rowOff>
    </xdr:from>
    <xdr:to>
      <xdr:col>16376</xdr:col>
      <xdr:colOff>238125</xdr:colOff>
      <xdr:row>17</xdr:row>
      <xdr:rowOff>90487</xdr:rowOff>
    </xdr:to>
    <xdr:graphicFrame macro="">
      <xdr:nvGraphicFramePr>
        <xdr:cNvPr id="3" name="Chart 2">
          <a:extLst>
            <a:ext uri="{FF2B5EF4-FFF2-40B4-BE49-F238E27FC236}">
              <a16:creationId xmlns:a16="http://schemas.microsoft.com/office/drawing/2014/main" id="{B1EDA7B8-7F88-2802-16BA-71B57FDC9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16362</xdr:col>
      <xdr:colOff>119062</xdr:colOff>
      <xdr:row>2</xdr:row>
      <xdr:rowOff>128587</xdr:rowOff>
    </xdr:from>
    <xdr:to>
      <xdr:col>16369</xdr:col>
      <xdr:colOff>423862</xdr:colOff>
      <xdr:row>17</xdr:row>
      <xdr:rowOff>14287</xdr:rowOff>
    </xdr:to>
    <xdr:graphicFrame macro="">
      <xdr:nvGraphicFramePr>
        <xdr:cNvPr id="5" name="Chart 4">
          <a:extLst>
            <a:ext uri="{FF2B5EF4-FFF2-40B4-BE49-F238E27FC236}">
              <a16:creationId xmlns:a16="http://schemas.microsoft.com/office/drawing/2014/main" id="{698D5C49-DA50-4CAB-9F9E-5D86396CF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16352</xdr:col>
      <xdr:colOff>76200</xdr:colOff>
      <xdr:row>1</xdr:row>
      <xdr:rowOff>152400</xdr:rowOff>
    </xdr:from>
    <xdr:to>
      <xdr:col>16357</xdr:col>
      <xdr:colOff>276225</xdr:colOff>
      <xdr:row>12</xdr:row>
      <xdr:rowOff>104775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A0CF6AE-AE67-4A97-9673-27A25AD61A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970493775" y="342900"/>
              <a:ext cx="3248025" cy="2047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16347</xdr:col>
      <xdr:colOff>152400</xdr:colOff>
      <xdr:row>2</xdr:row>
      <xdr:rowOff>76200</xdr:rowOff>
    </xdr:from>
    <xdr:to>
      <xdr:col>16352</xdr:col>
      <xdr:colOff>104775</xdr:colOff>
      <xdr:row>12</xdr:row>
      <xdr:rowOff>161925</xdr:rowOff>
    </xdr:to>
    <xdr:graphicFrame macro="">
      <xdr:nvGraphicFramePr>
        <xdr:cNvPr id="7" name="Chart 6">
          <a:extLst>
            <a:ext uri="{FF2B5EF4-FFF2-40B4-BE49-F238E27FC236}">
              <a16:creationId xmlns:a16="http://schemas.microsoft.com/office/drawing/2014/main" id="{E4273510-7BE0-46B4-8754-E69E70304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409575</xdr:colOff>
      <xdr:row>5</xdr:row>
      <xdr:rowOff>85725</xdr:rowOff>
    </xdr:from>
    <xdr:to>
      <xdr:col>5</xdr:col>
      <xdr:colOff>361950</xdr:colOff>
      <xdr:row>18</xdr:row>
      <xdr:rowOff>133350</xdr:rowOff>
    </xdr:to>
    <mc:AlternateContent xmlns:mc="http://schemas.openxmlformats.org/markup-compatibility/2006">
      <mc:Choice xmlns:a14="http://schemas.microsoft.com/office/drawing/2010/main" Requires="a14">
        <xdr:graphicFrame macro="">
          <xdr:nvGraphicFramePr>
            <xdr:cNvPr id="11" name="ITEMS">
              <a:extLst>
                <a:ext uri="{FF2B5EF4-FFF2-40B4-BE49-F238E27FC236}">
                  <a16:creationId xmlns:a16="http://schemas.microsoft.com/office/drawing/2014/main" id="{1BB525B5-09DD-2705-FC5B-990C7E96A8E8}"/>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dr:sp macro="" textlink="">
          <xdr:nvSpPr>
            <xdr:cNvPr id="0" name=""/>
            <xdr:cNvSpPr>
              <a:spLocks noTextEdit="1"/>
            </xdr:cNvSpPr>
          </xdr:nvSpPr>
          <xdr:spPr>
            <a:xfrm>
              <a:off x="3486150" y="1038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xdr:colOff>
      <xdr:row>5</xdr:row>
      <xdr:rowOff>47625</xdr:rowOff>
    </xdr:from>
    <xdr:to>
      <xdr:col>9</xdr:col>
      <xdr:colOff>47625</xdr:colOff>
      <xdr:row>18</xdr:row>
      <xdr:rowOff>95250</xdr:rowOff>
    </xdr:to>
    <mc:AlternateContent xmlns:mc="http://schemas.openxmlformats.org/markup-compatibility/2006">
      <mc:Choice xmlns:a14="http://schemas.microsoft.com/office/drawing/2010/main" Requires="a14">
        <xdr:graphicFrame macro="">
          <xdr:nvGraphicFramePr>
            <xdr:cNvPr id="12" name="TOTAL SALES">
              <a:extLst>
                <a:ext uri="{FF2B5EF4-FFF2-40B4-BE49-F238E27FC236}">
                  <a16:creationId xmlns:a16="http://schemas.microsoft.com/office/drawing/2014/main" id="{4D7CBC7F-981D-9DD0-7F2F-E7D7ADDC4FB0}"/>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5610225" y="1000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16375</xdr:col>
      <xdr:colOff>133350</xdr:colOff>
      <xdr:row>3</xdr:row>
      <xdr:rowOff>128587</xdr:rowOff>
    </xdr:from>
    <xdr:to>
      <xdr:col>16382</xdr:col>
      <xdr:colOff>438150</xdr:colOff>
      <xdr:row>18</xdr:row>
      <xdr:rowOff>14287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716A64-3D69-649D-F5FD-15FFFE1D67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83247750" y="7000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16372</xdr:col>
      <xdr:colOff>485775</xdr:colOff>
      <xdr:row>3</xdr:row>
      <xdr:rowOff>4762</xdr:rowOff>
    </xdr:from>
    <xdr:to>
      <xdr:col>16380</xdr:col>
      <xdr:colOff>180975</xdr:colOff>
      <xdr:row>17</xdr:row>
      <xdr:rowOff>80962</xdr:rowOff>
    </xdr:to>
    <xdr:graphicFrame macro="">
      <xdr:nvGraphicFramePr>
        <xdr:cNvPr id="5" name="Chart 4">
          <a:extLst>
            <a:ext uri="{FF2B5EF4-FFF2-40B4-BE49-F238E27FC236}">
              <a16:creationId xmlns:a16="http://schemas.microsoft.com/office/drawing/2014/main" id="{69C235F0-4C37-7358-52E4-8FF474ADC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16364</xdr:col>
      <xdr:colOff>485775</xdr:colOff>
      <xdr:row>2</xdr:row>
      <xdr:rowOff>128587</xdr:rowOff>
    </xdr:from>
    <xdr:to>
      <xdr:col>16372</xdr:col>
      <xdr:colOff>180975</xdr:colOff>
      <xdr:row>17</xdr:row>
      <xdr:rowOff>14287</xdr:rowOff>
    </xdr:to>
    <xdr:graphicFrame macro="">
      <xdr:nvGraphicFramePr>
        <xdr:cNvPr id="3" name="Chart 2">
          <a:extLst>
            <a:ext uri="{FF2B5EF4-FFF2-40B4-BE49-F238E27FC236}">
              <a16:creationId xmlns:a16="http://schemas.microsoft.com/office/drawing/2014/main" id="{06A05EC5-D96A-4001-86A3-03B8A0635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16370</xdr:col>
      <xdr:colOff>333375</xdr:colOff>
      <xdr:row>3</xdr:row>
      <xdr:rowOff>128587</xdr:rowOff>
    </xdr:from>
    <xdr:to>
      <xdr:col>16377</xdr:col>
      <xdr:colOff>638175</xdr:colOff>
      <xdr:row>18</xdr:row>
      <xdr:rowOff>14287</xdr:rowOff>
    </xdr:to>
    <xdr:graphicFrame macro="">
      <xdr:nvGraphicFramePr>
        <xdr:cNvPr id="2" name="Chart 1">
          <a:extLst>
            <a:ext uri="{FF2B5EF4-FFF2-40B4-BE49-F238E27FC236}">
              <a16:creationId xmlns:a16="http://schemas.microsoft.com/office/drawing/2014/main" id="{84BEEF7D-11A1-A089-AE74-AD8A21E96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8.53774537037" createdVersion="8" refreshedVersion="8" minRefreshableVersion="3" recordCount="12" xr:uid="{64EAB764-02FD-4A77-9B83-539C3E01D5F1}">
  <cacheSource type="worksheet">
    <worksheetSource ref="A1:J13" sheet="ROW DATA"/>
  </cacheSource>
  <cacheFields count="10">
    <cacheField name="S/N" numFmtId="0">
      <sharedItems containsString="0" containsBlank="1" containsNumber="1" containsInteger="1" minValue="1" maxValue="9"/>
    </cacheField>
    <cacheField name="ITEMS" numFmtId="0">
      <sharedItems containsBlank="1" count="10">
        <s v="CEMENT"/>
        <s v="UREA"/>
        <s v="G-DAP"/>
        <s v="G-GAS"/>
        <s v="NPK 1"/>
        <s v="NPK 2"/>
        <s v="NPK 3"/>
        <s v="DUSSA"/>
        <s v="EMPTY BAGS"/>
        <m/>
      </sharedItems>
    </cacheField>
    <cacheField name="INITIAL AMOUNT" numFmtId="0">
      <sharedItems containsString="0" containsBlank="1" containsNumber="1" containsInteger="1" minValue="50" maxValue="1000"/>
    </cacheField>
    <cacheField name="REMAINED" numFmtId="0">
      <sharedItems containsString="0" containsBlank="1" containsNumber="1" containsInteger="1" minValue="0" maxValue="100"/>
    </cacheField>
    <cacheField name="PRICE REMAINED" numFmtId="0">
      <sharedItems containsString="0" containsBlank="1" containsNumber="1" containsInteger="1" minValue="0" maxValue="1280000"/>
    </cacheField>
    <cacheField name="UNIT PRICE " numFmtId="0">
      <sharedItems containsString="0" containsBlank="1" containsNumber="1" containsInteger="1" minValue="500" maxValue="64000"/>
    </cacheField>
    <cacheField name="TOTAL AMNT(PCHS)" numFmtId="0">
      <sharedItems containsString="0" containsBlank="1" containsNumber="1" containsInteger="1" minValue="500000" maxValue="7200000"/>
    </cacheField>
    <cacheField name="TOTAL PRICE" numFmtId="0">
      <sharedItems containsString="0" containsBlank="1" containsNumber="1" containsInteger="1" minValue="500000" maxValue="7200000"/>
    </cacheField>
    <cacheField name="SELLING PRICE" numFmtId="8">
      <sharedItems containsString="0" containsBlank="1" containsNumber="1" containsInteger="1" minValue="600" maxValue="68000"/>
    </cacheField>
    <cacheField name="TOTAL SELLING AMNT" numFmtId="8">
      <sharedItems containsString="0" containsBlank="1" containsNumber="1" containsInteger="1" minValue="700000" maxValue="74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6.745032986109" backgroundQuery="1" createdVersion="8" refreshedVersion="8" minRefreshableVersion="3" recordCount="0" supportSubquery="1" supportAdvancedDrill="1" xr:uid="{8FF70D9D-E0A3-4CC1-9D6E-C01EC3CED26F}">
  <cacheSource type="external" connectionId="1"/>
  <cacheFields count="1">
    <cacheField name="[Range].[ITEMS].[ITEMS]" caption="ITEMS" numFmtId="0" level="1">
      <sharedItems count="10">
        <s v="CEMENT"/>
        <s v="DUSSA"/>
        <s v="EMPTY BAGS"/>
        <s v="G-DAP"/>
        <s v="G-GAS"/>
        <s v="NPK 1"/>
        <s v="NPK 2"/>
        <s v="NPK 3"/>
        <s v="TOTAL"/>
        <s v="UREA"/>
      </sharedItems>
    </cacheField>
  </cacheFields>
  <cacheHierarchies count="6">
    <cacheHierarchy uniqueName="[Range].[ITEMS]" caption="ITEMS" attribute="1" defaultMemberUniqueName="[Range].[ITEMS].[All]" allUniqueName="[Range].[ITEMS].[All]" dimensionUniqueName="[Range]" displayFolder="" count="2" memberValueDatatype="130" unbalanced="0">
      <fieldsUsage count="2">
        <fieldUsage x="-1"/>
        <fieldUsage x="0"/>
      </fieldsUsage>
    </cacheHierarchy>
    <cacheHierarchy uniqueName="[Range].[AMOUNT SOLD]" caption="AMOUNT SOLD" attribute="1" defaultMemberUniqueName="[Range].[AMOUNT SOLD].[All]" allUniqueName="[Range].[AMOUNT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PROFIT]" caption="PROFIT" attribute="1" defaultMemberUniqueName="[Range].[PROFIT].[All]" allUniqueName="[Range].[PROFIT].[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0.692228935186" createdVersion="8" refreshedVersion="8" minRefreshableVersion="3" recordCount="10" xr:uid="{0DA3940A-AC87-4387-87D7-E65082EB9DCD}">
  <cacheSource type="worksheet">
    <worksheetSource ref="L3:O13" sheet="ROW DATA"/>
  </cacheSource>
  <cacheFields count="4">
    <cacheField name="ITEMS" numFmtId="0">
      <sharedItems count="10">
        <s v="CEMENT"/>
        <s v="UREA"/>
        <s v="G-DAP"/>
        <s v="G-GAS"/>
        <s v="NPK 1"/>
        <s v="NPK 2"/>
        <s v="NPK 3"/>
        <s v="DUSSA"/>
        <s v="EMPTY BAGS"/>
        <s v="TOTAL"/>
      </sharedItems>
    </cacheField>
    <cacheField name="AMOUNT SOLD" numFmtId="0">
      <sharedItems containsSemiMixedTypes="0" containsString="0" containsNumber="1" containsInteger="1" minValue="45" maxValue="2000" count="10">
        <n v="400"/>
        <n v="190"/>
        <n v="80"/>
        <n v="70"/>
        <n v="45"/>
        <n v="60"/>
        <n v="55"/>
        <n v="200"/>
        <n v="900"/>
        <n v="2000"/>
      </sharedItems>
    </cacheField>
    <cacheField name="TOTAL SALES" numFmtId="8">
      <sharedItems containsSemiMixedTypes="0" containsString="0" containsNumber="1" containsInteger="1" minValue="540000" maxValue="32240000" count="10">
        <n v="4200000"/>
        <n v="7030000"/>
        <n v="5440000"/>
        <n v="2520000"/>
        <n v="2160000"/>
        <n v="2820000"/>
        <n v="2530000"/>
        <n v="5000000"/>
        <n v="540000"/>
        <n v="32240000"/>
      </sharedItems>
    </cacheField>
    <cacheField name="PROFIT" numFmtId="8">
      <sharedItems containsSemiMixedTypes="0" containsString="0" containsNumber="1" containsInteger="1" minValue="90000" maxValue="2220000"/>
    </cacheField>
  </cacheFields>
  <extLst>
    <ext xmlns:x14="http://schemas.microsoft.com/office/spreadsheetml/2009/9/main" uri="{725AE2AE-9491-48be-B2B4-4EB974FC3084}">
      <x14:pivotCacheDefinition pivotCacheId="1053873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30.734015856484" createdVersion="8" refreshedVersion="8" minRefreshableVersion="3" recordCount="10" xr:uid="{2BADCCB8-4424-4504-9BD2-2CFC5627192A}">
  <cacheSource type="worksheet">
    <worksheetSource ref="L3:P13" sheet="ROW DATA"/>
  </cacheSource>
  <cacheFields count="5">
    <cacheField name="ITEMS" numFmtId="0">
      <sharedItems/>
    </cacheField>
    <cacheField name="AMOUNT SOLD" numFmtId="0">
      <sharedItems containsSemiMixedTypes="0" containsString="0" containsNumber="1" containsInteger="1" minValue="45" maxValue="2000"/>
    </cacheField>
    <cacheField name="TOTAL SALES" numFmtId="8">
      <sharedItems containsSemiMixedTypes="0" containsString="0" containsNumber="1" containsInteger="1" minValue="540000" maxValue="32240000"/>
    </cacheField>
    <cacheField name="PROFIT" numFmtId="8">
      <sharedItems containsSemiMixedTypes="0" containsString="0" containsNumber="1" containsInteger="1" minValue="90000" maxValue="2220000"/>
    </cacheField>
    <cacheField name="GENDER" numFmtId="0">
      <sharedItems count="2">
        <s v="MALE"/>
        <s v="FEMA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n v="500"/>
    <n v="100"/>
    <n v="950000"/>
    <n v="9500"/>
    <n v="4750000"/>
    <n v="4750000"/>
    <n v="10500"/>
    <n v="5250000"/>
  </r>
  <r>
    <n v="2"/>
    <x v="1"/>
    <n v="200"/>
    <n v="10"/>
    <n v="360000"/>
    <n v="36000"/>
    <n v="7200000"/>
    <n v="7200000"/>
    <n v="37000"/>
    <n v="7400000"/>
  </r>
  <r>
    <n v="3"/>
    <x v="2"/>
    <n v="100"/>
    <n v="20"/>
    <n v="1280000"/>
    <n v="64000"/>
    <n v="6400000"/>
    <n v="6400000"/>
    <n v="68000"/>
    <n v="6800000"/>
  </r>
  <r>
    <n v="4"/>
    <x v="3"/>
    <n v="100"/>
    <n v="30"/>
    <n v="1020000"/>
    <n v="34000"/>
    <n v="3400000"/>
    <n v="3400000"/>
    <n v="36000"/>
    <n v="3600000"/>
  </r>
  <r>
    <n v="5"/>
    <x v="4"/>
    <n v="50"/>
    <n v="5"/>
    <n v="225000"/>
    <n v="45000"/>
    <n v="2250000"/>
    <n v="2250000"/>
    <n v="48000"/>
    <n v="2400000"/>
  </r>
  <r>
    <n v="6"/>
    <x v="5"/>
    <n v="70"/>
    <n v="10"/>
    <n v="440000"/>
    <n v="44000"/>
    <n v="3080000"/>
    <n v="3080000"/>
    <n v="47000"/>
    <n v="3290000"/>
  </r>
  <r>
    <n v="7"/>
    <x v="6"/>
    <n v="60"/>
    <n v="5"/>
    <n v="215000"/>
    <n v="43000"/>
    <n v="2580000"/>
    <n v="2580000"/>
    <n v="46000"/>
    <n v="2760000"/>
  </r>
  <r>
    <n v="8"/>
    <x v="7"/>
    <n v="200"/>
    <n v="0"/>
    <n v="0"/>
    <n v="22000"/>
    <n v="4400000"/>
    <n v="4400000"/>
    <n v="25000"/>
    <n v="5000000"/>
  </r>
  <r>
    <n v="9"/>
    <x v="8"/>
    <n v="1000"/>
    <n v="100"/>
    <n v="50000"/>
    <n v="500"/>
    <n v="500000"/>
    <n v="500000"/>
    <n v="600"/>
    <n v="700000"/>
  </r>
  <r>
    <m/>
    <x v="9"/>
    <m/>
    <m/>
    <m/>
    <m/>
    <m/>
    <m/>
    <m/>
    <m/>
  </r>
  <r>
    <m/>
    <x v="9"/>
    <m/>
    <m/>
    <m/>
    <m/>
    <m/>
    <m/>
    <m/>
    <m/>
  </r>
  <r>
    <m/>
    <x v="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400000"/>
  </r>
  <r>
    <x v="1"/>
    <x v="1"/>
    <x v="1"/>
    <n v="190000"/>
  </r>
  <r>
    <x v="2"/>
    <x v="2"/>
    <x v="2"/>
    <n v="320000"/>
  </r>
  <r>
    <x v="3"/>
    <x v="3"/>
    <x v="3"/>
    <n v="140000"/>
  </r>
  <r>
    <x v="4"/>
    <x v="4"/>
    <x v="4"/>
    <n v="135000"/>
  </r>
  <r>
    <x v="5"/>
    <x v="5"/>
    <x v="5"/>
    <n v="180000"/>
  </r>
  <r>
    <x v="6"/>
    <x v="6"/>
    <x v="6"/>
    <n v="165000"/>
  </r>
  <r>
    <x v="7"/>
    <x v="7"/>
    <x v="7"/>
    <n v="600000"/>
  </r>
  <r>
    <x v="8"/>
    <x v="8"/>
    <x v="8"/>
    <n v="90000"/>
  </r>
  <r>
    <x v="9"/>
    <x v="9"/>
    <x v="9"/>
    <n v="222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CEMENT"/>
    <n v="400"/>
    <n v="4200000"/>
    <n v="400000"/>
    <x v="0"/>
  </r>
  <r>
    <s v="UREA"/>
    <n v="190"/>
    <n v="7030000"/>
    <n v="190000"/>
    <x v="1"/>
  </r>
  <r>
    <s v="G-DAP"/>
    <n v="80"/>
    <n v="5440000"/>
    <n v="320000"/>
    <x v="0"/>
  </r>
  <r>
    <s v="G-GAS"/>
    <n v="70"/>
    <n v="2520000"/>
    <n v="140000"/>
    <x v="0"/>
  </r>
  <r>
    <s v="NPK 1"/>
    <n v="45"/>
    <n v="2160000"/>
    <n v="135000"/>
    <x v="0"/>
  </r>
  <r>
    <s v="NPK 2"/>
    <n v="60"/>
    <n v="2820000"/>
    <n v="180000"/>
    <x v="1"/>
  </r>
  <r>
    <s v="NPK 3"/>
    <n v="55"/>
    <n v="2530000"/>
    <n v="165000"/>
    <x v="0"/>
  </r>
  <r>
    <s v="DUSSA"/>
    <n v="200"/>
    <n v="5000000"/>
    <n v="600000"/>
    <x v="1"/>
  </r>
  <r>
    <s v="EMPTY BAGS"/>
    <n v="900"/>
    <n v="540000"/>
    <n v="90000"/>
    <x v="0"/>
  </r>
  <r>
    <s v="TOTAL"/>
    <n v="2000"/>
    <n v="32240000"/>
    <n v="222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698977-A30E-40DB-A584-7A0B8F7F3F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6047E-99AC-4050-8423-39072268741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1">
    <pivotField axis="axisRow" allDrilled="1" showAll="0" dataSourceSort="1" defaultAttributeDrillState="1">
      <items count="11">
        <item x="0"/>
        <item x="1"/>
        <item x="2"/>
        <item x="3"/>
        <item x="4"/>
        <item x="5"/>
        <item x="6"/>
        <item x="7"/>
        <item x="8"/>
        <item x="9"/>
        <item t="default"/>
      </items>
    </pivotField>
  </pivotFields>
  <rowFields count="1">
    <field x="0"/>
  </rowFields>
  <rowItems count="11">
    <i>
      <x/>
    </i>
    <i>
      <x v="1"/>
    </i>
    <i>
      <x v="2"/>
    </i>
    <i>
      <x v="3"/>
    </i>
    <i>
      <x v="4"/>
    </i>
    <i>
      <x v="5"/>
    </i>
    <i>
      <x v="6"/>
    </i>
    <i>
      <x v="7"/>
    </i>
    <i>
      <x v="8"/>
    </i>
    <i>
      <x v="9"/>
    </i>
    <i t="grand">
      <x/>
    </i>
  </rowItems>
  <pivotHierarchies count="6">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OW DATA!$L$3:$O$1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AE6AD-6E86-462F-A8F6-BFBF3C42039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
    <pivotField showAll="0">
      <items count="11">
        <item x="0"/>
        <item x="7"/>
        <item x="8"/>
        <item x="2"/>
        <item x="3"/>
        <item x="4"/>
        <item x="5"/>
        <item x="6"/>
        <item x="9"/>
        <item x="1"/>
        <item t="default"/>
      </items>
    </pivotField>
    <pivotField showAll="0">
      <items count="11">
        <item x="4"/>
        <item x="6"/>
        <item x="5"/>
        <item x="3"/>
        <item x="2"/>
        <item x="1"/>
        <item x="7"/>
        <item x="0"/>
        <item x="8"/>
        <item x="9"/>
        <item t="default"/>
      </items>
    </pivotField>
    <pivotField numFmtId="8" showAll="0">
      <items count="11">
        <item x="8"/>
        <item x="4"/>
        <item x="3"/>
        <item x="6"/>
        <item x="5"/>
        <item x="0"/>
        <item x="7"/>
        <item x="2"/>
        <item h="1" x="1"/>
        <item h="1" x="9"/>
        <item t="default"/>
      </items>
    </pivotField>
    <pivotField numFmtId="8"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0CC38-072B-4EA6-8917-F4D17ABA49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showAll="0"/>
    <pivotField axis="axisRow" showAll="0">
      <items count="11">
        <item x="0"/>
        <item x="7"/>
        <item x="8"/>
        <item x="2"/>
        <item x="3"/>
        <item x="4"/>
        <item x="5"/>
        <item x="6"/>
        <item x="1"/>
        <item x="9"/>
        <item t="default"/>
      </items>
    </pivotField>
    <pivotField showAll="0"/>
    <pivotField showAll="0"/>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TOT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8F4316-31B3-4449-8C93-47316C313DA7}"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5">
    <pivotField showAll="0"/>
    <pivotField showAll="0"/>
    <pivotField numFmtId="8" showAll="0"/>
    <pivotField dataField="1" numFmtId="8" showAll="0"/>
    <pivotField axis="axisRow" showAll="0">
      <items count="3">
        <item x="1"/>
        <item x="0"/>
        <item t="default"/>
      </items>
    </pivotField>
  </pivotFields>
  <rowFields count="1">
    <field x="4"/>
  </rowFields>
  <rowItems count="3">
    <i>
      <x/>
    </i>
    <i>
      <x v="1"/>
    </i>
    <i t="grand">
      <x/>
    </i>
  </rowItems>
  <colItems count="1">
    <i/>
  </colItems>
  <dataFields count="1">
    <dataField name="Sum of PROFIT" fld="3"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F51AA710-74D1-4BA8-A006-065BA72D6139}" sourceName="ITEMS">
  <pivotTables>
    <pivotTable tabId="3" name="PivotTable2"/>
  </pivotTables>
  <data>
    <tabular pivotCacheId="10538733">
      <items count="10">
        <i x="0" s="1"/>
        <i x="7" s="1"/>
        <i x="8" s="1"/>
        <i x="2" s="1"/>
        <i x="3" s="1"/>
        <i x="4" s="1"/>
        <i x="5" s="1"/>
        <i x="6" s="1"/>
        <i x="9"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AB8FDF0B-38F1-4476-8103-3AD2086C7391}" sourceName="TOTAL SALES">
  <pivotTables>
    <pivotTable tabId="3" name="PivotTable2"/>
  </pivotTables>
  <data>
    <tabular pivotCacheId="10538733">
      <items count="10">
        <i x="8" s="1"/>
        <i x="4" s="1"/>
        <i x="3" s="1"/>
        <i x="6" s="1"/>
        <i x="5" s="1"/>
        <i x="0" s="1"/>
        <i x="7" s="1"/>
        <i x="2" s="1"/>
        <i x="1"/>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1" xr10:uid="{73AACDD8-FF9A-48D3-98D3-56B47CC2AC7A}" cache="Slicer_ITEMS" caption="ITEMS" style="SlicerStyleDark6" rowHeight="241300"/>
  <slicer name="TOTAL SALES 1" xr10:uid="{FC610264-7D6A-4CB1-B618-252751EA7643}" cache="Slicer_TOTAL_SALES" caption="TOTAL SALES"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S" xr10:uid="{806A42D4-5943-4766-B7FC-56F531F9A398}" cache="Slicer_ITEMS" caption="ITEMS" style="SlicerStyleDark6" rowHeight="241300"/>
  <slicer name="TOTAL SALES" xr10:uid="{35BA46B2-C446-4E67-AF21-FF8CE4CB6674}" cache="Slicer_TOTAL_SALES" caption="TOTAL SALES"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F8F0B2-6B9E-43A7-ADA4-A8984BAA290D}" name="Table1" displayName="Table1" ref="A3:D4" totalsRowShown="0">
  <autoFilter ref="A3:D4" xr:uid="{0EF8F0B2-6B9E-43A7-ADA4-A8984BAA290D}"/>
  <tableColumns count="4">
    <tableColumn id="1" xr3:uid="{25BABC73-3336-460A-BAC4-8DE828529244}" name="ITEMS"/>
    <tableColumn id="2" xr3:uid="{1F048996-A5AF-4F01-A7D5-1E2AF1024C0E}" name="AMOUNT SOLD"/>
    <tableColumn id="3" xr3:uid="{9EF3A28E-02BA-4DC3-9018-1F90F5B18581}" name="TOTAL SALES"/>
    <tableColumn id="4" xr3:uid="{A0BDF4BF-434B-4BB7-A329-00F184616B99}"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DD3-6AA1-4FE4-BAA6-D56670F20D07}">
  <dimension ref="A3:C20"/>
  <sheetViews>
    <sheetView workbookViewId="0">
      <selection activeCell="F7" sqref="F7"/>
    </sheetView>
  </sheetViews>
  <sheetFormatPr defaultRowHeight="15" x14ac:dyDescent="0.25"/>
  <sheetData>
    <row r="3" spans="1:3" x14ac:dyDescent="0.25">
      <c r="A3" s="18"/>
      <c r="B3" s="19"/>
      <c r="C3" s="20"/>
    </row>
    <row r="4" spans="1:3" x14ac:dyDescent="0.25">
      <c r="A4" s="21"/>
      <c r="B4" s="22"/>
      <c r="C4" s="23"/>
    </row>
    <row r="5" spans="1:3" x14ac:dyDescent="0.25">
      <c r="A5" s="21"/>
      <c r="B5" s="22"/>
      <c r="C5" s="23"/>
    </row>
    <row r="6" spans="1:3" x14ac:dyDescent="0.25">
      <c r="A6" s="21"/>
      <c r="B6" s="22"/>
      <c r="C6" s="23"/>
    </row>
    <row r="7" spans="1:3" x14ac:dyDescent="0.25">
      <c r="A7" s="21"/>
      <c r="B7" s="22"/>
      <c r="C7" s="23"/>
    </row>
    <row r="8" spans="1:3" x14ac:dyDescent="0.25">
      <c r="A8" s="21"/>
      <c r="B8" s="22"/>
      <c r="C8" s="23"/>
    </row>
    <row r="9" spans="1:3" x14ac:dyDescent="0.25">
      <c r="A9" s="21"/>
      <c r="B9" s="22"/>
      <c r="C9" s="23"/>
    </row>
    <row r="10" spans="1:3" x14ac:dyDescent="0.25">
      <c r="A10" s="21"/>
      <c r="B10" s="22"/>
      <c r="C10" s="23"/>
    </row>
    <row r="11" spans="1:3" x14ac:dyDescent="0.25">
      <c r="A11" s="21"/>
      <c r="B11" s="22"/>
      <c r="C11" s="23"/>
    </row>
    <row r="12" spans="1:3" x14ac:dyDescent="0.25">
      <c r="A12" s="21"/>
      <c r="B12" s="22"/>
      <c r="C12" s="23"/>
    </row>
    <row r="13" spans="1:3" x14ac:dyDescent="0.25">
      <c r="A13" s="21"/>
      <c r="B13" s="22"/>
      <c r="C13" s="23"/>
    </row>
    <row r="14" spans="1:3" x14ac:dyDescent="0.25">
      <c r="A14" s="21"/>
      <c r="B14" s="22"/>
      <c r="C14" s="23"/>
    </row>
    <row r="15" spans="1:3" x14ac:dyDescent="0.25">
      <c r="A15" s="21"/>
      <c r="B15" s="22"/>
      <c r="C15" s="23"/>
    </row>
    <row r="16" spans="1:3" x14ac:dyDescent="0.25">
      <c r="A16" s="21"/>
      <c r="B16" s="22"/>
      <c r="C16" s="23"/>
    </row>
    <row r="17" spans="1:3" x14ac:dyDescent="0.25">
      <c r="A17" s="21"/>
      <c r="B17" s="22"/>
      <c r="C17" s="23"/>
    </row>
    <row r="18" spans="1:3" x14ac:dyDescent="0.25">
      <c r="A18" s="21"/>
      <c r="B18" s="22"/>
      <c r="C18" s="23"/>
    </row>
    <row r="19" spans="1:3" x14ac:dyDescent="0.25">
      <c r="A19" s="21"/>
      <c r="B19" s="22"/>
      <c r="C19" s="23"/>
    </row>
    <row r="20" spans="1:3" x14ac:dyDescent="0.25">
      <c r="A20" s="24"/>
      <c r="B20" s="25"/>
      <c r="C20"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C6B9-C64B-4BCE-9131-1EA6CC6266C2}">
  <dimension ref="A1:D4"/>
  <sheetViews>
    <sheetView topLeftCell="A12" workbookViewId="0">
      <selection activeCell="B22" sqref="B22"/>
    </sheetView>
  </sheetViews>
  <sheetFormatPr defaultRowHeight="15" x14ac:dyDescent="0.25"/>
  <cols>
    <col min="1" max="1" width="9.28515625" bestFit="1" customWidth="1"/>
    <col min="2" max="2" width="16.85546875" bestFit="1" customWidth="1"/>
    <col min="3" max="3" width="14.42578125" bestFit="1" customWidth="1"/>
    <col min="4" max="4" width="9.5703125" bestFit="1" customWidth="1"/>
  </cols>
  <sheetData>
    <row r="1" spans="1:4" x14ac:dyDescent="0.25">
      <c r="A1" s="31" t="s">
        <v>26</v>
      </c>
    </row>
    <row r="3" spans="1:4" x14ac:dyDescent="0.25">
      <c r="A3" t="s">
        <v>1</v>
      </c>
      <c r="B3" t="s">
        <v>6</v>
      </c>
      <c r="C3" t="s">
        <v>19</v>
      </c>
      <c r="D3" t="s">
        <v>20</v>
      </c>
    </row>
    <row r="4" spans="1:4" x14ac:dyDescent="0.25">
      <c r="A4" t="s">
        <v>11</v>
      </c>
      <c r="B4">
        <v>45</v>
      </c>
      <c r="C4">
        <v>2160000</v>
      </c>
      <c r="D4">
        <v>135000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E2A2-5A84-4949-9EC8-5BCB01BD622A}">
  <dimension ref="A3:A14"/>
  <sheetViews>
    <sheetView workbookViewId="0">
      <selection activeCell="A10" sqref="A4:A13"/>
      <pivotSelection pane="bottomRight" showHeader="1" axis="axisRow" activeRow="9" previousRow="9" click="1" r:id="rId1">
        <pivotArea dataOnly="0" labelOnly="1" fieldPosition="0">
          <references count="1">
            <reference field="0" count="0"/>
          </references>
        </pivotArea>
      </pivotSelection>
    </sheetView>
  </sheetViews>
  <sheetFormatPr defaultRowHeight="15" x14ac:dyDescent="0.25"/>
  <cols>
    <col min="1" max="1" width="13.140625" bestFit="1" customWidth="1"/>
  </cols>
  <sheetData>
    <row r="3" spans="1:1" x14ac:dyDescent="0.25">
      <c r="A3" s="27" t="s">
        <v>24</v>
      </c>
    </row>
    <row r="4" spans="1:1" x14ac:dyDescent="0.25">
      <c r="A4" s="28" t="s">
        <v>7</v>
      </c>
    </row>
    <row r="5" spans="1:1" x14ac:dyDescent="0.25">
      <c r="A5" s="28" t="s">
        <v>14</v>
      </c>
    </row>
    <row r="6" spans="1:1" x14ac:dyDescent="0.25">
      <c r="A6" s="28" t="s">
        <v>15</v>
      </c>
    </row>
    <row r="7" spans="1:1" x14ac:dyDescent="0.25">
      <c r="A7" s="28" t="s">
        <v>9</v>
      </c>
    </row>
    <row r="8" spans="1:1" x14ac:dyDescent="0.25">
      <c r="A8" s="28" t="s">
        <v>10</v>
      </c>
    </row>
    <row r="9" spans="1:1" x14ac:dyDescent="0.25">
      <c r="A9" s="28" t="s">
        <v>11</v>
      </c>
    </row>
    <row r="10" spans="1:1" x14ac:dyDescent="0.25">
      <c r="A10" s="28" t="s">
        <v>12</v>
      </c>
    </row>
    <row r="11" spans="1:1" x14ac:dyDescent="0.25">
      <c r="A11" s="28" t="s">
        <v>13</v>
      </c>
    </row>
    <row r="12" spans="1:1" x14ac:dyDescent="0.25">
      <c r="A12" s="28" t="s">
        <v>23</v>
      </c>
    </row>
    <row r="13" spans="1:1" x14ac:dyDescent="0.25">
      <c r="A13" s="28" t="s">
        <v>8</v>
      </c>
    </row>
    <row r="14" spans="1:1" x14ac:dyDescent="0.25">
      <c r="A14" s="28"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AAFA8-25DB-4CB7-9E62-45E2C0E30E52}">
  <dimension ref="A1:U3"/>
  <sheetViews>
    <sheetView showGridLines="0" tabSelected="1" workbookViewId="0">
      <selection activeCell="L20" sqref="L20"/>
    </sheetView>
  </sheetViews>
  <sheetFormatPr defaultRowHeight="15" x14ac:dyDescent="0.25"/>
  <cols>
    <col min="1" max="16384" width="9.140625" style="5"/>
  </cols>
  <sheetData>
    <row r="1" spans="1:21" ht="27" x14ac:dyDescent="0.5">
      <c r="A1" s="36" t="s">
        <v>37</v>
      </c>
      <c r="B1" s="36"/>
      <c r="C1" s="36"/>
      <c r="D1" s="36"/>
      <c r="E1" s="36"/>
      <c r="F1" s="36"/>
      <c r="G1" s="36"/>
      <c r="H1" s="36"/>
      <c r="I1" s="36"/>
      <c r="J1" s="36"/>
      <c r="K1" s="36"/>
      <c r="L1" s="36"/>
      <c r="M1" s="36"/>
      <c r="N1" s="36"/>
      <c r="O1" s="36"/>
      <c r="P1" s="36"/>
      <c r="Q1" s="36"/>
      <c r="R1" s="36"/>
      <c r="S1" s="36"/>
      <c r="T1" s="36"/>
      <c r="U1" s="36"/>
    </row>
    <row r="2" spans="1:21" x14ac:dyDescent="0.25">
      <c r="H2" s="35" t="s">
        <v>30</v>
      </c>
      <c r="J2" s="33"/>
      <c r="K2" s="35" t="s">
        <v>31</v>
      </c>
      <c r="N2" s="35" t="s">
        <v>32</v>
      </c>
      <c r="Q2" s="35" t="s">
        <v>33</v>
      </c>
    </row>
    <row r="3" spans="1:21" x14ac:dyDescent="0.25">
      <c r="J3" s="33"/>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ED30-B892-4564-BC7C-93F1F6698517}">
  <dimension ref="A3:XFA20"/>
  <sheetViews>
    <sheetView showGridLines="0" topLeftCell="A2" workbookViewId="0">
      <selection activeCell="A3" sqref="A3"/>
    </sheetView>
  </sheetViews>
  <sheetFormatPr defaultRowHeight="15" x14ac:dyDescent="0.25"/>
  <cols>
    <col min="1" max="1" width="13.140625" bestFit="1" customWidth="1"/>
    <col min="2" max="2" width="14" bestFit="1" customWidth="1"/>
    <col min="3" max="4" width="19" bestFit="1" customWidth="1"/>
    <col min="16372" max="16372" width="15.140625" customWidth="1"/>
    <col min="16380" max="16380" width="12.42578125" customWidth="1"/>
    <col min="16381" max="16381" width="15" customWidth="1"/>
  </cols>
  <sheetData>
    <row r="3" spans="1:3 16367:16381" x14ac:dyDescent="0.25">
      <c r="A3" s="18"/>
      <c r="B3" s="19"/>
      <c r="C3" s="20"/>
    </row>
    <row r="4" spans="1:3 16367:16381" x14ac:dyDescent="0.25">
      <c r="A4" s="21"/>
      <c r="B4" s="22"/>
      <c r="C4" s="23"/>
    </row>
    <row r="5" spans="1:3 16367:16381" x14ac:dyDescent="0.25">
      <c r="A5" s="21"/>
      <c r="B5" s="22"/>
      <c r="C5" s="23"/>
      <c r="XEM5" s="28"/>
      <c r="XEN5" s="28" t="s">
        <v>7</v>
      </c>
      <c r="XEO5">
        <v>400</v>
      </c>
    </row>
    <row r="6" spans="1:3 16367:16381" x14ac:dyDescent="0.25">
      <c r="A6" s="21"/>
      <c r="B6" s="22"/>
      <c r="C6" s="23"/>
      <c r="XEM6" s="28"/>
      <c r="XEN6" s="28" t="s">
        <v>14</v>
      </c>
      <c r="XEO6">
        <v>200</v>
      </c>
      <c r="XEQ6" s="28" t="s">
        <v>7</v>
      </c>
      <c r="XER6" s="1">
        <v>400000</v>
      </c>
    </row>
    <row r="7" spans="1:3 16367:16381" x14ac:dyDescent="0.25">
      <c r="A7" s="21"/>
      <c r="B7" s="22"/>
      <c r="C7" s="23"/>
      <c r="XEM7" s="28"/>
      <c r="XEN7" s="28" t="s">
        <v>15</v>
      </c>
      <c r="XEO7">
        <v>900</v>
      </c>
      <c r="XEQ7" s="28" t="s">
        <v>14</v>
      </c>
      <c r="XER7" s="1">
        <v>600000</v>
      </c>
    </row>
    <row r="8" spans="1:3 16367:16381" x14ac:dyDescent="0.25">
      <c r="A8" s="21"/>
      <c r="B8" s="22"/>
      <c r="C8" s="23"/>
      <c r="XEM8" s="28"/>
      <c r="XEN8" s="28" t="s">
        <v>9</v>
      </c>
      <c r="XEO8">
        <v>80</v>
      </c>
      <c r="XEQ8" s="28" t="s">
        <v>15</v>
      </c>
      <c r="XER8" s="1">
        <v>90000</v>
      </c>
    </row>
    <row r="9" spans="1:3 16367:16381" x14ac:dyDescent="0.25">
      <c r="A9" s="21"/>
      <c r="B9" s="22"/>
      <c r="C9" s="23"/>
      <c r="XEM9" s="28"/>
      <c r="XEN9" s="28" t="s">
        <v>10</v>
      </c>
      <c r="XEO9">
        <v>70</v>
      </c>
      <c r="XEQ9" s="28" t="s">
        <v>9</v>
      </c>
      <c r="XER9" s="1">
        <v>320000</v>
      </c>
      <c r="XEZ9" s="28" t="s">
        <v>7</v>
      </c>
      <c r="XFA9" s="1">
        <v>4200000</v>
      </c>
    </row>
    <row r="10" spans="1:3 16367:16381" x14ac:dyDescent="0.25">
      <c r="A10" s="21"/>
      <c r="B10" s="22"/>
      <c r="C10" s="23"/>
      <c r="XEM10" s="28"/>
      <c r="XEN10" s="28" t="s">
        <v>11</v>
      </c>
      <c r="XEO10">
        <v>45</v>
      </c>
      <c r="XEQ10" s="28" t="s">
        <v>10</v>
      </c>
      <c r="XER10" s="1">
        <v>140000</v>
      </c>
      <c r="XEZ10" s="28" t="s">
        <v>14</v>
      </c>
      <c r="XFA10" s="1">
        <v>5000000</v>
      </c>
    </row>
    <row r="11" spans="1:3 16367:16381" x14ac:dyDescent="0.25">
      <c r="A11" s="21"/>
      <c r="B11" s="22"/>
      <c r="C11" s="23"/>
      <c r="XEM11" s="28"/>
      <c r="XEN11" s="28" t="s">
        <v>12</v>
      </c>
      <c r="XEO11">
        <v>60</v>
      </c>
      <c r="XEQ11" s="28" t="s">
        <v>11</v>
      </c>
      <c r="XER11" s="1">
        <v>135000</v>
      </c>
      <c r="XEZ11" s="28" t="s">
        <v>15</v>
      </c>
      <c r="XFA11" s="1">
        <v>540000</v>
      </c>
    </row>
    <row r="12" spans="1:3 16367:16381" x14ac:dyDescent="0.25">
      <c r="A12" s="21"/>
      <c r="B12" s="22"/>
      <c r="C12" s="23"/>
      <c r="XEM12" s="28"/>
      <c r="XEN12" s="28" t="s">
        <v>13</v>
      </c>
      <c r="XEO12">
        <v>55</v>
      </c>
      <c r="XEQ12" s="28" t="s">
        <v>12</v>
      </c>
      <c r="XER12" s="1">
        <v>180000</v>
      </c>
      <c r="XEZ12" s="28" t="s">
        <v>9</v>
      </c>
      <c r="XFA12" s="1">
        <v>5440000</v>
      </c>
    </row>
    <row r="13" spans="1:3 16367:16381" x14ac:dyDescent="0.25">
      <c r="A13" s="21"/>
      <c r="B13" s="22"/>
      <c r="C13" s="23"/>
      <c r="XEM13" s="28"/>
      <c r="XEN13" s="28" t="s">
        <v>23</v>
      </c>
      <c r="XEO13">
        <v>2000</v>
      </c>
      <c r="XEQ13" s="28" t="s">
        <v>13</v>
      </c>
      <c r="XER13" s="1">
        <v>165000</v>
      </c>
      <c r="XEZ13" s="28" t="s">
        <v>10</v>
      </c>
      <c r="XFA13" s="1">
        <v>2520000</v>
      </c>
    </row>
    <row r="14" spans="1:3 16367:16381" x14ac:dyDescent="0.25">
      <c r="A14" s="21"/>
      <c r="B14" s="22"/>
      <c r="C14" s="23"/>
      <c r="XEM14" s="28"/>
      <c r="XEN14" s="28" t="s">
        <v>8</v>
      </c>
      <c r="XEO14">
        <v>190</v>
      </c>
      <c r="XEQ14" s="28" t="s">
        <v>23</v>
      </c>
      <c r="XER14" s="1">
        <v>2220000</v>
      </c>
      <c r="XEZ14" s="28" t="s">
        <v>11</v>
      </c>
      <c r="XFA14" s="1">
        <v>2160000</v>
      </c>
    </row>
    <row r="15" spans="1:3 16367:16381" x14ac:dyDescent="0.25">
      <c r="A15" s="21"/>
      <c r="B15" s="22"/>
      <c r="C15" s="23"/>
      <c r="XEQ15" s="28" t="s">
        <v>8</v>
      </c>
      <c r="XER15" s="1">
        <v>190000</v>
      </c>
      <c r="XEZ15" s="28" t="s">
        <v>12</v>
      </c>
      <c r="XFA15" s="1">
        <v>2820000</v>
      </c>
    </row>
    <row r="16" spans="1:3 16367:16381" x14ac:dyDescent="0.25">
      <c r="A16" s="21"/>
      <c r="B16" s="22"/>
      <c r="C16" s="23"/>
      <c r="XEZ16" s="28" t="s">
        <v>13</v>
      </c>
      <c r="XFA16" s="1">
        <v>2530000</v>
      </c>
    </row>
    <row r="17" spans="1:3 16380:16381" x14ac:dyDescent="0.25">
      <c r="A17" s="21"/>
      <c r="B17" s="22"/>
      <c r="C17" s="23"/>
      <c r="XEZ17" s="28" t="s">
        <v>23</v>
      </c>
      <c r="XFA17" s="1">
        <v>32240000</v>
      </c>
    </row>
    <row r="18" spans="1:3 16380:16381" x14ac:dyDescent="0.25">
      <c r="A18" s="21"/>
      <c r="B18" s="22"/>
      <c r="C18" s="23"/>
      <c r="XEZ18" s="28" t="s">
        <v>8</v>
      </c>
      <c r="XFA18" s="1">
        <v>7030000</v>
      </c>
    </row>
    <row r="19" spans="1:3 16380:16381" x14ac:dyDescent="0.25">
      <c r="A19" s="21"/>
      <c r="B19" s="22"/>
      <c r="C19" s="23"/>
    </row>
    <row r="20" spans="1:3 16380:16381" x14ac:dyDescent="0.25">
      <c r="A20" s="24"/>
      <c r="B20" s="25"/>
      <c r="C20" s="2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2A16-0246-417B-A396-E44E99458A84}">
  <dimension ref="A3:XFC15"/>
  <sheetViews>
    <sheetView topLeftCell="XEK1" workbookViewId="0">
      <selection activeCell="XEM6" sqref="XEM6:XEN14"/>
    </sheetView>
  </sheetViews>
  <sheetFormatPr defaultRowHeight="15" x14ac:dyDescent="0.25"/>
  <cols>
    <col min="1" max="1" width="13.140625" bestFit="1" customWidth="1"/>
    <col min="2" max="2" width="18.85546875" bestFit="1" customWidth="1"/>
  </cols>
  <sheetData>
    <row r="3" spans="1:2 16367:16383" x14ac:dyDescent="0.25">
      <c r="A3" s="27" t="s">
        <v>24</v>
      </c>
      <c r="B3" t="s">
        <v>28</v>
      </c>
    </row>
    <row r="4" spans="1:2 16367:16383" x14ac:dyDescent="0.25">
      <c r="A4" s="28" t="s">
        <v>7</v>
      </c>
      <c r="B4">
        <v>4750000</v>
      </c>
    </row>
    <row r="5" spans="1:2 16367:16383" x14ac:dyDescent="0.25">
      <c r="A5" s="28" t="s">
        <v>14</v>
      </c>
      <c r="B5">
        <v>4400000</v>
      </c>
      <c r="XEQ5" s="28" t="s">
        <v>7</v>
      </c>
      <c r="XER5">
        <v>5250000</v>
      </c>
    </row>
    <row r="6" spans="1:2 16367:16383" x14ac:dyDescent="0.25">
      <c r="A6" s="28" t="s">
        <v>15</v>
      </c>
      <c r="B6">
        <v>500000</v>
      </c>
      <c r="XEM6" s="28" t="s">
        <v>7</v>
      </c>
      <c r="XEN6">
        <v>4750000</v>
      </c>
      <c r="XEQ6" s="28" t="s">
        <v>14</v>
      </c>
      <c r="XER6">
        <v>5000000</v>
      </c>
    </row>
    <row r="7" spans="1:2 16367:16383" x14ac:dyDescent="0.25">
      <c r="A7" s="28" t="s">
        <v>9</v>
      </c>
      <c r="B7">
        <v>6400000</v>
      </c>
      <c r="XEM7" s="28" t="s">
        <v>14</v>
      </c>
      <c r="XEN7">
        <v>4400000</v>
      </c>
      <c r="XEQ7" s="28" t="s">
        <v>15</v>
      </c>
      <c r="XER7">
        <v>700000</v>
      </c>
      <c r="XFB7" s="28" t="s">
        <v>7</v>
      </c>
      <c r="XFC7">
        <v>100</v>
      </c>
    </row>
    <row r="8" spans="1:2 16367:16383" x14ac:dyDescent="0.25">
      <c r="A8" s="28" t="s">
        <v>10</v>
      </c>
      <c r="B8">
        <v>3400000</v>
      </c>
      <c r="XEM8" s="28" t="s">
        <v>15</v>
      </c>
      <c r="XEN8">
        <v>500000</v>
      </c>
      <c r="XEQ8" s="28" t="s">
        <v>9</v>
      </c>
      <c r="XER8">
        <v>6800000</v>
      </c>
      <c r="XFB8" s="28" t="s">
        <v>14</v>
      </c>
      <c r="XFC8">
        <v>0</v>
      </c>
    </row>
    <row r="9" spans="1:2 16367:16383" x14ac:dyDescent="0.25">
      <c r="A9" s="28" t="s">
        <v>11</v>
      </c>
      <c r="B9">
        <v>2250000</v>
      </c>
      <c r="XEM9" s="28" t="s">
        <v>9</v>
      </c>
      <c r="XEN9">
        <v>6400000</v>
      </c>
      <c r="XEQ9" s="28" t="s">
        <v>10</v>
      </c>
      <c r="XER9">
        <v>3600000</v>
      </c>
      <c r="XFB9" s="28" t="s">
        <v>15</v>
      </c>
      <c r="XFC9">
        <v>100</v>
      </c>
    </row>
    <row r="10" spans="1:2 16367:16383" x14ac:dyDescent="0.25">
      <c r="A10" s="28" t="s">
        <v>12</v>
      </c>
      <c r="B10">
        <v>3080000</v>
      </c>
      <c r="XEM10" s="28" t="s">
        <v>10</v>
      </c>
      <c r="XEN10">
        <v>3400000</v>
      </c>
      <c r="XEQ10" s="28" t="s">
        <v>11</v>
      </c>
      <c r="XER10">
        <v>2400000</v>
      </c>
      <c r="XFB10" s="28" t="s">
        <v>9</v>
      </c>
      <c r="XFC10">
        <v>20</v>
      </c>
    </row>
    <row r="11" spans="1:2 16367:16383" x14ac:dyDescent="0.25">
      <c r="A11" s="28" t="s">
        <v>13</v>
      </c>
      <c r="B11">
        <v>2580000</v>
      </c>
      <c r="XEM11" s="28" t="s">
        <v>11</v>
      </c>
      <c r="XEN11">
        <v>2250000</v>
      </c>
      <c r="XEQ11" s="28" t="s">
        <v>12</v>
      </c>
      <c r="XER11">
        <v>3290000</v>
      </c>
      <c r="XFB11" s="28" t="s">
        <v>10</v>
      </c>
      <c r="XFC11">
        <v>30</v>
      </c>
    </row>
    <row r="12" spans="1:2 16367:16383" x14ac:dyDescent="0.25">
      <c r="A12" s="28" t="s">
        <v>8</v>
      </c>
      <c r="B12">
        <v>7200000</v>
      </c>
      <c r="XEM12" s="28" t="s">
        <v>12</v>
      </c>
      <c r="XEN12">
        <v>3080000</v>
      </c>
      <c r="XEQ12" s="28" t="s">
        <v>13</v>
      </c>
      <c r="XER12">
        <v>2760000</v>
      </c>
      <c r="XFB12" s="28" t="s">
        <v>11</v>
      </c>
      <c r="XFC12">
        <v>5</v>
      </c>
    </row>
    <row r="13" spans="1:2 16367:16383" x14ac:dyDescent="0.25">
      <c r="A13" s="28" t="s">
        <v>27</v>
      </c>
      <c r="XEM13" s="28" t="s">
        <v>13</v>
      </c>
      <c r="XEN13">
        <v>2580000</v>
      </c>
      <c r="XEQ13" s="28" t="s">
        <v>8</v>
      </c>
      <c r="XER13">
        <v>7400000</v>
      </c>
      <c r="XFB13" s="28" t="s">
        <v>12</v>
      </c>
      <c r="XFC13">
        <v>10</v>
      </c>
    </row>
    <row r="14" spans="1:2 16367:16383" x14ac:dyDescent="0.25">
      <c r="A14" s="28" t="s">
        <v>25</v>
      </c>
      <c r="B14">
        <v>34560000</v>
      </c>
      <c r="XEM14" s="28" t="s">
        <v>8</v>
      </c>
      <c r="XEN14">
        <v>7200000</v>
      </c>
      <c r="XFB14" s="28" t="s">
        <v>13</v>
      </c>
      <c r="XFC14">
        <v>5</v>
      </c>
    </row>
    <row r="15" spans="1:2 16367:16383" x14ac:dyDescent="0.25">
      <c r="XFB15" s="28" t="s">
        <v>8</v>
      </c>
      <c r="XFC15">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2E4F-A9D2-4407-9B6F-7ACE00CA7163}">
  <dimension ref="A3:XEX8"/>
  <sheetViews>
    <sheetView topLeftCell="XEK1" workbookViewId="0">
      <selection activeCell="XEW7" sqref="XEW7:XEX8"/>
    </sheetView>
  </sheetViews>
  <sheetFormatPr defaultRowHeight="15" x14ac:dyDescent="0.25"/>
  <cols>
    <col min="1" max="1" width="13.140625" bestFit="1" customWidth="1"/>
    <col min="2" max="2" width="14" bestFit="1" customWidth="1"/>
    <col min="16378" max="16378" width="17.140625" customWidth="1"/>
  </cols>
  <sheetData>
    <row r="3" spans="1:2 16377:16378" x14ac:dyDescent="0.25">
      <c r="A3" s="27" t="s">
        <v>24</v>
      </c>
      <c r="B3" t="s">
        <v>29</v>
      </c>
    </row>
    <row r="4" spans="1:2 16377:16378" x14ac:dyDescent="0.25">
      <c r="A4" s="28" t="s">
        <v>36</v>
      </c>
      <c r="B4" s="1">
        <v>970000</v>
      </c>
    </row>
    <row r="5" spans="1:2 16377:16378" x14ac:dyDescent="0.25">
      <c r="A5" s="28" t="s">
        <v>35</v>
      </c>
      <c r="B5" s="1">
        <v>3470000</v>
      </c>
    </row>
    <row r="6" spans="1:2 16377:16378" x14ac:dyDescent="0.25">
      <c r="A6" s="28" t="s">
        <v>25</v>
      </c>
      <c r="B6" s="1">
        <v>4440000</v>
      </c>
    </row>
    <row r="7" spans="1:2 16377:16378" x14ac:dyDescent="0.25">
      <c r="XEW7" s="28" t="s">
        <v>36</v>
      </c>
      <c r="XEX7" s="1">
        <v>970000</v>
      </c>
    </row>
    <row r="8" spans="1:2 16377:16378" x14ac:dyDescent="0.25">
      <c r="XEW8" s="28" t="s">
        <v>35</v>
      </c>
      <c r="XEX8" s="1">
        <v>3470000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B84D-F1CB-4C96-849B-A4F04D400458}">
  <dimension ref="A1:P19"/>
  <sheetViews>
    <sheetView showGridLines="0" topLeftCell="C1" workbookViewId="0">
      <selection activeCell="L3" sqref="L3:P13"/>
    </sheetView>
  </sheetViews>
  <sheetFormatPr defaultRowHeight="15" x14ac:dyDescent="0.25"/>
  <cols>
    <col min="2" max="2" width="15" customWidth="1"/>
    <col min="3" max="3" width="22" customWidth="1"/>
    <col min="4" max="4" width="14.5703125" customWidth="1"/>
    <col min="5" max="5" width="21.42578125" customWidth="1"/>
    <col min="6" max="6" width="13.5703125" customWidth="1"/>
    <col min="7" max="7" width="19.42578125" hidden="1" customWidth="1"/>
    <col min="8" max="9" width="18.140625" customWidth="1"/>
    <col min="10" max="10" width="21.7109375" hidden="1" customWidth="1"/>
    <col min="11" max="11" width="8.5703125" customWidth="1"/>
    <col min="12" max="12" width="11.28515625" customWidth="1"/>
    <col min="13" max="13" width="17.85546875" customWidth="1"/>
    <col min="14" max="14" width="16.42578125" customWidth="1"/>
    <col min="15" max="15" width="15.140625" customWidth="1"/>
    <col min="16" max="16" width="10.5703125" customWidth="1"/>
  </cols>
  <sheetData>
    <row r="1" spans="1:16" x14ac:dyDescent="0.25">
      <c r="A1" s="29" t="s">
        <v>0</v>
      </c>
      <c r="B1" s="6" t="s">
        <v>1</v>
      </c>
      <c r="C1" s="6" t="s">
        <v>2</v>
      </c>
      <c r="D1" s="6" t="s">
        <v>16</v>
      </c>
      <c r="E1" s="6" t="s">
        <v>22</v>
      </c>
      <c r="F1" s="6" t="s">
        <v>17</v>
      </c>
      <c r="G1" s="6" t="s">
        <v>3</v>
      </c>
      <c r="H1" s="6" t="s">
        <v>21</v>
      </c>
      <c r="I1" s="6" t="s">
        <v>4</v>
      </c>
      <c r="J1" s="2" t="s">
        <v>5</v>
      </c>
      <c r="K1" s="2"/>
      <c r="L1" s="2"/>
      <c r="M1" s="2"/>
      <c r="N1" s="2"/>
    </row>
    <row r="2" spans="1:16" x14ac:dyDescent="0.25">
      <c r="A2" s="16">
        <v>1</v>
      </c>
      <c r="B2" s="15" t="s">
        <v>7</v>
      </c>
      <c r="C2" s="16">
        <v>500</v>
      </c>
      <c r="D2" s="16">
        <v>100</v>
      </c>
      <c r="E2" s="17">
        <f>F2*D2</f>
        <v>950000</v>
      </c>
      <c r="F2" s="17">
        <v>9500</v>
      </c>
      <c r="G2" s="17">
        <v>4750000</v>
      </c>
      <c r="H2" s="17">
        <f>F2*C2</f>
        <v>4750000</v>
      </c>
      <c r="I2" s="17">
        <v>10500</v>
      </c>
      <c r="J2" s="3">
        <v>5250000</v>
      </c>
      <c r="K2" s="32" t="s">
        <v>18</v>
      </c>
      <c r="L2" s="32"/>
      <c r="M2" s="32"/>
      <c r="N2" s="32"/>
      <c r="O2" s="32"/>
    </row>
    <row r="3" spans="1:16" x14ac:dyDescent="0.25">
      <c r="A3" s="16">
        <v>2</v>
      </c>
      <c r="B3" s="15" t="s">
        <v>8</v>
      </c>
      <c r="C3" s="16">
        <v>200</v>
      </c>
      <c r="D3" s="16">
        <v>10</v>
      </c>
      <c r="E3" s="17">
        <f t="shared" ref="E3:E10" si="0">F3*D3</f>
        <v>360000</v>
      </c>
      <c r="F3" s="17">
        <v>36000</v>
      </c>
      <c r="G3" s="17">
        <v>7200000</v>
      </c>
      <c r="H3" s="17">
        <f t="shared" ref="H3:H10" si="1">F3*C3</f>
        <v>7200000</v>
      </c>
      <c r="I3" s="17">
        <v>37000</v>
      </c>
      <c r="J3" s="3">
        <v>7400000</v>
      </c>
      <c r="K3" s="4"/>
      <c r="L3" s="9" t="s">
        <v>1</v>
      </c>
      <c r="M3" s="10" t="s">
        <v>6</v>
      </c>
      <c r="N3" s="9" t="s">
        <v>19</v>
      </c>
      <c r="O3" s="10" t="s">
        <v>20</v>
      </c>
      <c r="P3" s="11" t="s">
        <v>34</v>
      </c>
    </row>
    <row r="4" spans="1:16" x14ac:dyDescent="0.25">
      <c r="A4" s="16">
        <v>3</v>
      </c>
      <c r="B4" s="15" t="s">
        <v>9</v>
      </c>
      <c r="C4" s="16">
        <v>100</v>
      </c>
      <c r="D4" s="16">
        <v>20</v>
      </c>
      <c r="E4" s="17">
        <f t="shared" si="0"/>
        <v>1280000</v>
      </c>
      <c r="F4" s="17">
        <v>64000</v>
      </c>
      <c r="G4" s="17">
        <v>6400000</v>
      </c>
      <c r="H4" s="17">
        <f t="shared" si="1"/>
        <v>6400000</v>
      </c>
      <c r="I4" s="17">
        <v>68000</v>
      </c>
      <c r="J4" s="3">
        <v>6800000</v>
      </c>
      <c r="K4" s="3"/>
      <c r="L4" s="11" t="s">
        <v>7</v>
      </c>
      <c r="M4" s="12">
        <f>C2-D2</f>
        <v>400</v>
      </c>
      <c r="N4" s="13">
        <f>I2*M4</f>
        <v>4200000</v>
      </c>
      <c r="O4" s="13">
        <f t="shared" ref="O4:O12" si="2">N4-H2+E2</f>
        <v>400000</v>
      </c>
      <c r="P4" s="11" t="s">
        <v>35</v>
      </c>
    </row>
    <row r="5" spans="1:16" x14ac:dyDescent="0.25">
      <c r="A5" s="16">
        <v>4</v>
      </c>
      <c r="B5" s="15" t="s">
        <v>10</v>
      </c>
      <c r="C5" s="16">
        <v>100</v>
      </c>
      <c r="D5" s="16">
        <v>30</v>
      </c>
      <c r="E5" s="17">
        <f t="shared" si="0"/>
        <v>1020000</v>
      </c>
      <c r="F5" s="17">
        <v>34000</v>
      </c>
      <c r="G5" s="17">
        <v>3400000</v>
      </c>
      <c r="H5" s="17">
        <f t="shared" si="1"/>
        <v>3400000</v>
      </c>
      <c r="I5" s="17">
        <v>36000</v>
      </c>
      <c r="J5" s="3">
        <v>3600000</v>
      </c>
      <c r="K5" s="3"/>
      <c r="L5" s="11" t="s">
        <v>8</v>
      </c>
      <c r="M5" s="12">
        <f t="shared" ref="M5:M12" si="3">C3-D3</f>
        <v>190</v>
      </c>
      <c r="N5" s="13">
        <f t="shared" ref="N5:N12" si="4">I3*M5</f>
        <v>7030000</v>
      </c>
      <c r="O5" s="13">
        <f t="shared" si="2"/>
        <v>190000</v>
      </c>
      <c r="P5" s="11" t="s">
        <v>36</v>
      </c>
    </row>
    <row r="6" spans="1:16" x14ac:dyDescent="0.25">
      <c r="A6" s="16">
        <v>5</v>
      </c>
      <c r="B6" s="15" t="s">
        <v>11</v>
      </c>
      <c r="C6" s="16">
        <v>50</v>
      </c>
      <c r="D6" s="16">
        <v>5</v>
      </c>
      <c r="E6" s="17">
        <f t="shared" si="0"/>
        <v>225000</v>
      </c>
      <c r="F6" s="17">
        <v>45000</v>
      </c>
      <c r="G6" s="17">
        <v>2250000</v>
      </c>
      <c r="H6" s="17">
        <f t="shared" si="1"/>
        <v>2250000</v>
      </c>
      <c r="I6" s="17">
        <v>48000</v>
      </c>
      <c r="J6" s="3">
        <v>2400000</v>
      </c>
      <c r="K6" s="3"/>
      <c r="L6" s="11" t="s">
        <v>9</v>
      </c>
      <c r="M6" s="12">
        <f t="shared" si="3"/>
        <v>80</v>
      </c>
      <c r="N6" s="13">
        <f t="shared" si="4"/>
        <v>5440000</v>
      </c>
      <c r="O6" s="13">
        <f t="shared" si="2"/>
        <v>320000</v>
      </c>
      <c r="P6" s="11" t="s">
        <v>35</v>
      </c>
    </row>
    <row r="7" spans="1:16" x14ac:dyDescent="0.25">
      <c r="A7" s="16">
        <v>6</v>
      </c>
      <c r="B7" s="15" t="s">
        <v>12</v>
      </c>
      <c r="C7" s="16">
        <v>70</v>
      </c>
      <c r="D7" s="16">
        <v>10</v>
      </c>
      <c r="E7" s="17">
        <f t="shared" si="0"/>
        <v>440000</v>
      </c>
      <c r="F7" s="17">
        <v>44000</v>
      </c>
      <c r="G7" s="17">
        <v>3080000</v>
      </c>
      <c r="H7" s="17">
        <f t="shared" si="1"/>
        <v>3080000</v>
      </c>
      <c r="I7" s="17">
        <v>47000</v>
      </c>
      <c r="J7" s="3">
        <v>3290000</v>
      </c>
      <c r="K7" s="3"/>
      <c r="L7" s="11" t="s">
        <v>10</v>
      </c>
      <c r="M7" s="12">
        <f t="shared" si="3"/>
        <v>70</v>
      </c>
      <c r="N7" s="13">
        <f t="shared" si="4"/>
        <v>2520000</v>
      </c>
      <c r="O7" s="13">
        <f t="shared" si="2"/>
        <v>140000</v>
      </c>
      <c r="P7" s="11" t="s">
        <v>35</v>
      </c>
    </row>
    <row r="8" spans="1:16" x14ac:dyDescent="0.25">
      <c r="A8" s="16">
        <v>7</v>
      </c>
      <c r="B8" s="15" t="s">
        <v>13</v>
      </c>
      <c r="C8" s="16">
        <v>60</v>
      </c>
      <c r="D8" s="16">
        <v>5</v>
      </c>
      <c r="E8" s="17">
        <f t="shared" si="0"/>
        <v>215000</v>
      </c>
      <c r="F8" s="17">
        <v>43000</v>
      </c>
      <c r="G8" s="17">
        <v>2580000</v>
      </c>
      <c r="H8" s="17">
        <f t="shared" si="1"/>
        <v>2580000</v>
      </c>
      <c r="I8" s="17">
        <v>46000</v>
      </c>
      <c r="J8" s="3">
        <v>2760000</v>
      </c>
      <c r="K8" s="3"/>
      <c r="L8" s="11" t="s">
        <v>11</v>
      </c>
      <c r="M8" s="12">
        <f t="shared" si="3"/>
        <v>45</v>
      </c>
      <c r="N8" s="13">
        <f t="shared" si="4"/>
        <v>2160000</v>
      </c>
      <c r="O8" s="13">
        <f t="shared" si="2"/>
        <v>135000</v>
      </c>
      <c r="P8" s="11" t="s">
        <v>35</v>
      </c>
    </row>
    <row r="9" spans="1:16" x14ac:dyDescent="0.25">
      <c r="A9" s="16">
        <v>8</v>
      </c>
      <c r="B9" s="15" t="s">
        <v>14</v>
      </c>
      <c r="C9" s="16">
        <v>200</v>
      </c>
      <c r="D9" s="16">
        <v>0</v>
      </c>
      <c r="E9" s="17">
        <f t="shared" si="0"/>
        <v>0</v>
      </c>
      <c r="F9" s="17">
        <v>22000</v>
      </c>
      <c r="G9" s="17">
        <v>4400000</v>
      </c>
      <c r="H9" s="17">
        <f t="shared" si="1"/>
        <v>4400000</v>
      </c>
      <c r="I9" s="17">
        <v>25000</v>
      </c>
      <c r="J9" s="3">
        <v>5000000</v>
      </c>
      <c r="K9" s="3"/>
      <c r="L9" s="11" t="s">
        <v>12</v>
      </c>
      <c r="M9" s="12">
        <f t="shared" si="3"/>
        <v>60</v>
      </c>
      <c r="N9" s="13">
        <f t="shared" si="4"/>
        <v>2820000</v>
      </c>
      <c r="O9" s="13">
        <f t="shared" si="2"/>
        <v>180000</v>
      </c>
      <c r="P9" s="11" t="s">
        <v>36</v>
      </c>
    </row>
    <row r="10" spans="1:16" x14ac:dyDescent="0.25">
      <c r="A10" s="30">
        <v>9</v>
      </c>
      <c r="B10" s="15" t="s">
        <v>15</v>
      </c>
      <c r="C10" s="16">
        <v>1000</v>
      </c>
      <c r="D10" s="16">
        <v>100</v>
      </c>
      <c r="E10" s="17">
        <f t="shared" si="0"/>
        <v>50000</v>
      </c>
      <c r="F10" s="17">
        <v>500</v>
      </c>
      <c r="G10" s="17">
        <v>500000</v>
      </c>
      <c r="H10" s="17">
        <f t="shared" si="1"/>
        <v>500000</v>
      </c>
      <c r="I10" s="17">
        <v>600</v>
      </c>
      <c r="J10" s="3">
        <v>700000</v>
      </c>
      <c r="K10" s="3"/>
      <c r="L10" s="11" t="s">
        <v>13</v>
      </c>
      <c r="M10" s="12">
        <f t="shared" si="3"/>
        <v>55</v>
      </c>
      <c r="N10" s="13">
        <f t="shared" si="4"/>
        <v>2530000</v>
      </c>
      <c r="O10" s="13">
        <f t="shared" si="2"/>
        <v>165000</v>
      </c>
      <c r="P10" s="11" t="s">
        <v>35</v>
      </c>
    </row>
    <row r="11" spans="1:16" x14ac:dyDescent="0.25">
      <c r="B11" s="5"/>
      <c r="C11" s="5"/>
      <c r="D11" s="5"/>
      <c r="E11" s="7"/>
      <c r="F11" s="5"/>
      <c r="G11" s="5"/>
      <c r="H11" s="5"/>
      <c r="I11" s="8"/>
      <c r="J11" s="1"/>
      <c r="K11" s="1"/>
      <c r="L11" s="11" t="s">
        <v>14</v>
      </c>
      <c r="M11" s="12">
        <f t="shared" si="3"/>
        <v>200</v>
      </c>
      <c r="N11" s="13">
        <f t="shared" si="4"/>
        <v>5000000</v>
      </c>
      <c r="O11" s="13">
        <f t="shared" si="2"/>
        <v>600000</v>
      </c>
      <c r="P11" s="34" t="s">
        <v>36</v>
      </c>
    </row>
    <row r="12" spans="1:16" x14ac:dyDescent="0.25">
      <c r="I12" s="1"/>
      <c r="J12" s="1"/>
      <c r="K12" s="1"/>
      <c r="L12" s="11" t="s">
        <v>15</v>
      </c>
      <c r="M12" s="12">
        <f t="shared" si="3"/>
        <v>900</v>
      </c>
      <c r="N12" s="13">
        <f t="shared" si="4"/>
        <v>540000</v>
      </c>
      <c r="O12" s="13">
        <f t="shared" si="2"/>
        <v>90000</v>
      </c>
      <c r="P12" s="34" t="s">
        <v>35</v>
      </c>
    </row>
    <row r="13" spans="1:16" x14ac:dyDescent="0.25">
      <c r="I13" s="1"/>
      <c r="J13" s="1"/>
      <c r="K13" s="1"/>
      <c r="L13" s="14" t="s">
        <v>23</v>
      </c>
      <c r="M13" s="12">
        <f>SUM(M4:M12)</f>
        <v>2000</v>
      </c>
      <c r="N13" s="14">
        <f>SUM(N4:N12)</f>
        <v>32240000</v>
      </c>
      <c r="O13" s="13">
        <f>SUM(O4:O12)</f>
        <v>2220000</v>
      </c>
      <c r="P13" s="34" t="s">
        <v>35</v>
      </c>
    </row>
    <row r="14" spans="1:16" x14ac:dyDescent="0.25">
      <c r="I14" s="1"/>
      <c r="J14" s="1"/>
      <c r="K14" s="1"/>
      <c r="L14" s="1"/>
      <c r="M14" s="1"/>
      <c r="N14" s="1"/>
      <c r="P14" s="1"/>
    </row>
    <row r="15" spans="1:16" x14ac:dyDescent="0.25">
      <c r="I15" s="1"/>
      <c r="J15" s="1"/>
      <c r="K15" s="1"/>
      <c r="L15" s="1"/>
      <c r="M15" s="1"/>
      <c r="N15" s="1"/>
      <c r="P15" s="1"/>
    </row>
    <row r="16" spans="1:16" x14ac:dyDescent="0.25">
      <c r="I16" s="1"/>
      <c r="J16" s="1"/>
      <c r="K16" s="1"/>
      <c r="L16" s="1" t="s">
        <v>30</v>
      </c>
      <c r="M16" s="1">
        <f>SUM(N4:N13)</f>
        <v>64480000</v>
      </c>
      <c r="N16" s="1"/>
      <c r="P16" s="1"/>
    </row>
    <row r="17" spans="3:16" x14ac:dyDescent="0.25">
      <c r="I17" s="1"/>
      <c r="J17" s="1"/>
      <c r="K17" s="1"/>
      <c r="L17" s="1" t="s">
        <v>32</v>
      </c>
      <c r="M17" s="1">
        <f>SUM(M4:M13)</f>
        <v>4000</v>
      </c>
      <c r="N17" s="1"/>
      <c r="P17" s="1"/>
    </row>
    <row r="18" spans="3:16" x14ac:dyDescent="0.25">
      <c r="C18" s="5"/>
      <c r="I18" s="1"/>
      <c r="J18" s="1"/>
      <c r="K18" s="1"/>
      <c r="L18" s="1" t="s">
        <v>31</v>
      </c>
      <c r="M18" s="1">
        <f>SUM(O4:O13)</f>
        <v>4440000</v>
      </c>
      <c r="N18" s="1"/>
      <c r="P18" s="1"/>
    </row>
    <row r="19" spans="3:16" x14ac:dyDescent="0.25">
      <c r="I19" s="1"/>
      <c r="J19" s="1"/>
      <c r="K19" s="1"/>
      <c r="L19" s="1" t="s">
        <v>33</v>
      </c>
      <c r="M19" s="1">
        <f>SUM(I2:I10)</f>
        <v>318100</v>
      </c>
      <c r="N19" s="1"/>
      <c r="P19" s="1"/>
    </row>
  </sheetData>
  <mergeCells count="1">
    <mergeCell ref="K2:O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Detail1</vt:lpstr>
      <vt:lpstr>Sheet1</vt:lpstr>
      <vt:lpstr>INTRACTIVE DASHBOARD</vt:lpstr>
      <vt:lpstr>PIVOT</vt:lpstr>
      <vt:lpstr>Sheet3</vt:lpstr>
      <vt:lpstr>PIVOT2</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2026-07-05T08:17:05Z</dcterms:created>
  <dcterms:modified xsi:type="dcterms:W3CDTF">2026-07-27T13:50:22Z</dcterms:modified>
</cp:coreProperties>
</file>